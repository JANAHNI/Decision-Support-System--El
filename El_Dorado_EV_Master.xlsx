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C2A8CC3-F86B-4D92-BA16-412A61B09E02}" xr6:coauthVersionLast="47" xr6:coauthVersionMax="47" xr10:uidLastSave="{00000000-0000-0000-0000-000000000000}"/>
  <bookViews>
    <workbookView xWindow="-90" yWindow="0" windowWidth="9780" windowHeight="11370" firstSheet="3" activeTab="3" xr2:uid="{00000000-000D-0000-FFFF-FFFF00000000}"/>
  </bookViews>
  <sheets>
    <sheet name="1. Master Inputs" sheetId="1" r:id="rId1"/>
    <sheet name="Answer Report 1" sheetId="5" r:id="rId2"/>
    <sheet name="2. Optimization Engine" sheetId="2" r:id="rId3"/>
    <sheet name="3. Risk Simulation" sheetId="6" r:id="rId4"/>
  </sheets>
  <definedNames>
    <definedName name="solver_adj" localSheetId="2" hidden="1">'2. Optimization Engine'!$C$2:$E$7,'2. Optimization Engine'!$D$12:$D$17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'2. Optimization Engine'!$C$2:$C$7</definedName>
    <definedName name="solver_lhs2" localSheetId="2" hidden="1">'2. Optimization Engine'!$D$12:$D$17</definedName>
    <definedName name="solver_lhs3" localSheetId="2" hidden="1">'2. Optimization Engine'!$D$12:$D$17</definedName>
    <definedName name="solver_lhs4" localSheetId="2" hidden="1">'2. Optimization Engine'!$D$2:$E$7</definedName>
    <definedName name="solver_lhs5" localSheetId="2" hidden="1">'2. Optimization Engine'!$F$19</definedName>
    <definedName name="solver_lhs6" localSheetId="2" hidden="1">'2. Optimization Engine'!$F$2:$F$7</definedName>
    <definedName name="solver_lhs7" localSheetId="2" hidden="1">'2. Optimization Engine'!$H$2:$H$7</definedName>
    <definedName name="solver_lhs8" localSheetId="2" hidden="1">'2. Optimization Engine'!$J$9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8</definedName>
    <definedName name="solver_nwt" localSheetId="2" hidden="1">1</definedName>
    <definedName name="solver_opt" localSheetId="2" hidden="1">'2. Optimization Engine'!$N$9</definedName>
    <definedName name="solver_pre" localSheetId="2" hidden="1">0.000001</definedName>
    <definedName name="solver_rbv" localSheetId="2" hidden="1">1</definedName>
    <definedName name="solver_rel1" localSheetId="2" hidden="1">5</definedName>
    <definedName name="solver_rel2" localSheetId="2" hidden="1">1</definedName>
    <definedName name="solver_rel3" localSheetId="2" hidden="1">5</definedName>
    <definedName name="solver_rel4" localSheetId="2" hidden="1">4</definedName>
    <definedName name="solver_rel5" localSheetId="2" hidden="1">3</definedName>
    <definedName name="solver_rel6" localSheetId="2" hidden="1">1</definedName>
    <definedName name="solver_rel7" localSheetId="2" hidden="1">1</definedName>
    <definedName name="solver_rel8" localSheetId="2" hidden="1">1</definedName>
    <definedName name="solver_rhs1" localSheetId="2" hidden="1">"binary"</definedName>
    <definedName name="solver_rhs2" localSheetId="2" hidden="1">'2. Optimization Engine'!$C$12:$C$17</definedName>
    <definedName name="solver_rhs3" localSheetId="2" hidden="1">"binary"</definedName>
    <definedName name="solver_rhs4" localSheetId="2" hidden="1">"integer"</definedName>
    <definedName name="solver_rhs5" localSheetId="2" hidden="1">0.9</definedName>
    <definedName name="solver_rhs6" localSheetId="2" hidden="1">'2. Optimization Engine'!$G$2:$G$7</definedName>
    <definedName name="solver_rhs7" localSheetId="2" hidden="1">'2. Optimization Engine'!$I$2:$I$7</definedName>
    <definedName name="solver_rhs8" localSheetId="2" hidden="1">450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J7" i="2"/>
  <c r="J6" i="2"/>
  <c r="J5" i="2"/>
  <c r="J4" i="2"/>
  <c r="J3" i="2"/>
  <c r="J2" i="2"/>
  <c r="G3" i="2"/>
  <c r="G4" i="2"/>
  <c r="G5" i="2"/>
  <c r="G6" i="2"/>
  <c r="G7" i="2"/>
  <c r="G2" i="2"/>
  <c r="I3" i="2"/>
  <c r="I4" i="2"/>
  <c r="I5" i="2"/>
  <c r="I6" i="2"/>
  <c r="I7" i="2"/>
  <c r="I2" i="2"/>
  <c r="E17" i="2"/>
  <c r="C17" i="2"/>
  <c r="E16" i="2"/>
  <c r="C16" i="2"/>
  <c r="E15" i="2"/>
  <c r="C15" i="2"/>
  <c r="E14" i="2"/>
  <c r="C14" i="2"/>
  <c r="E13" i="2"/>
  <c r="C13" i="2"/>
  <c r="E12" i="2"/>
  <c r="C12" i="2"/>
  <c r="K7" i="2"/>
  <c r="H7" i="2"/>
  <c r="F7" i="2"/>
  <c r="K6" i="2"/>
  <c r="H6" i="2"/>
  <c r="F6" i="2"/>
  <c r="K5" i="2"/>
  <c r="H5" i="2"/>
  <c r="F5" i="2"/>
  <c r="K4" i="2"/>
  <c r="H4" i="2"/>
  <c r="F4" i="2"/>
  <c r="K3" i="2"/>
  <c r="H3" i="2"/>
  <c r="F3" i="2"/>
  <c r="K2" i="2"/>
  <c r="H2" i="2"/>
  <c r="F2" i="2"/>
  <c r="L2" i="2" l="1"/>
  <c r="L3" i="2"/>
  <c r="M3" i="2" s="1"/>
  <c r="N3" i="2" s="1"/>
  <c r="L6" i="2"/>
  <c r="M6" i="2" s="1"/>
  <c r="N6" i="2" s="1"/>
  <c r="L4" i="2"/>
  <c r="M4" i="2" s="1"/>
  <c r="N4" i="2" s="1"/>
  <c r="L5" i="2"/>
  <c r="M5" i="2" s="1"/>
  <c r="N5" i="2" s="1"/>
  <c r="L7" i="2"/>
  <c r="M7" i="2" s="1"/>
  <c r="N7" i="2" s="1"/>
  <c r="B19" i="2"/>
  <c r="M2" i="2"/>
  <c r="N2" i="2" s="1"/>
  <c r="J9" i="2"/>
  <c r="D19" i="2"/>
  <c r="N9" i="2" l="1"/>
  <c r="F19" i="2"/>
  <c r="E2" i="6" l="1"/>
  <c r="E3" i="6"/>
  <c r="H5" i="6" l="1"/>
  <c r="H2" i="6"/>
  <c r="H4" i="6"/>
  <c r="H3" i="6"/>
</calcChain>
</file>

<file path=xl/sharedStrings.xml><?xml version="1.0" encoding="utf-8"?>
<sst xmlns="http://schemas.openxmlformats.org/spreadsheetml/2006/main" count="312" uniqueCount="219">
  <si>
    <t>GLOBAL PLANNING PARAMETERS</t>
  </si>
  <si>
    <t>Parameter</t>
  </si>
  <si>
    <t>Value</t>
  </si>
  <si>
    <t>Unit</t>
  </si>
  <si>
    <t>Total Capital Budget</t>
  </si>
  <si>
    <t>Lakhs</t>
  </si>
  <si>
    <t>Min 5km Coverage Rule</t>
  </si>
  <si>
    <t>Percentage</t>
  </si>
  <si>
    <t>Max Utilization Cap</t>
  </si>
  <si>
    <t>Planning Horizon</t>
  </si>
  <si>
    <t>Years</t>
  </si>
  <si>
    <t>CHARGER SPECIFICATIONS</t>
  </si>
  <si>
    <t>Charger Type</t>
  </si>
  <si>
    <t>Setup Cost (Lakh)</t>
  </si>
  <si>
    <t>Daily Capacity</t>
  </si>
  <si>
    <t>Power Draw (kW)</t>
  </si>
  <si>
    <t>Revenue/Session</t>
  </si>
  <si>
    <t>Standard</t>
  </si>
  <si>
    <t>Fast</t>
  </si>
  <si>
    <t>CANDIDATE SITE DATA</t>
  </si>
  <si>
    <t>Site Code</t>
  </si>
  <si>
    <t>Site Name</t>
  </si>
  <si>
    <t>Fixed Setup (Lakh)</t>
  </si>
  <si>
    <t>Grid Limit (kW)</t>
  </si>
  <si>
    <t>Max Chargers</t>
  </si>
  <si>
    <t>Op Cost (Lakh/mo)</t>
  </si>
  <si>
    <t>C1</t>
  </si>
  <si>
    <t>CBD Mall</t>
  </si>
  <si>
    <t>C2</t>
  </si>
  <si>
    <t>North Metro</t>
  </si>
  <si>
    <t>C3</t>
  </si>
  <si>
    <t>Tech Park</t>
  </si>
  <si>
    <t>C4</t>
  </si>
  <si>
    <t>University</t>
  </si>
  <si>
    <t>C5</t>
  </si>
  <si>
    <t>Highway Hub</t>
  </si>
  <si>
    <t>C6</t>
  </si>
  <si>
    <t>South Plaza</t>
  </si>
  <si>
    <t>DEMAND ZONES (BASELINE)</t>
  </si>
  <si>
    <t>Zone Code</t>
  </si>
  <si>
    <t>Zone Name</t>
  </si>
  <si>
    <t>Baseline Sessions</t>
  </si>
  <si>
    <t>Peak Share</t>
  </si>
  <si>
    <t>2-Yr Growth</t>
  </si>
  <si>
    <t>Z1</t>
  </si>
  <si>
    <t>CBD</t>
  </si>
  <si>
    <t>Z2</t>
  </si>
  <si>
    <t>Residential North</t>
  </si>
  <si>
    <t>Z3</t>
  </si>
  <si>
    <t>Tech Corridor</t>
  </si>
  <si>
    <t>Z4</t>
  </si>
  <si>
    <t>Z5</t>
  </si>
  <si>
    <t>Highway</t>
  </si>
  <si>
    <t>Z6</t>
  </si>
  <si>
    <t>South Residential</t>
  </si>
  <si>
    <t>DISTANCE MATRIX (km)</t>
  </si>
  <si>
    <t>Site \ Zone</t>
  </si>
  <si>
    <t>Open Site (X_j)</t>
  </si>
  <si>
    <t>Standard (S_j)</t>
  </si>
  <si>
    <t>Fast (F_j)</t>
  </si>
  <si>
    <t>Total Chargers</t>
  </si>
  <si>
    <t>Max Allowed</t>
  </si>
  <si>
    <t>Power (kW)</t>
  </si>
  <si>
    <t>Grid Limit</t>
  </si>
  <si>
    <t>CapEx (Lakh)</t>
  </si>
  <si>
    <t>Daily Cap</t>
  </si>
  <si>
    <t>Daily Rev</t>
  </si>
  <si>
    <t>Monthly Rev</t>
  </si>
  <si>
    <t>Net Profit</t>
  </si>
  <si>
    <t>Total CapEx:</t>
  </si>
  <si>
    <t>Total Profit:</t>
  </si>
  <si>
    <t>Zone</t>
  </si>
  <si>
    <t>Baseline Demand</t>
  </si>
  <si>
    <t>Active Sites &lt;5km (E)</t>
  </si>
  <si>
    <t>Zone Covered? (Y)</t>
  </si>
  <si>
    <t>Covered Sessions</t>
  </si>
  <si>
    <t>Total Demand:</t>
  </si>
  <si>
    <t>Total Covered:</t>
  </si>
  <si>
    <t>Coverage %:</t>
  </si>
  <si>
    <t>Microsoft Excel 16.0 Answer Report</t>
  </si>
  <si>
    <t>Worksheet: [El_Dorado_EV_Master.xlsx]2. Optimization Engine</t>
  </si>
  <si>
    <t>Result: Solver found a solution.  All Constraints and optimality conditions are satisfied.</t>
  </si>
  <si>
    <t>Solver Engine</t>
  </si>
  <si>
    <t>Engine: Simplex LP</t>
  </si>
  <si>
    <t>Solver Options</t>
  </si>
  <si>
    <t>Max Time Unlimited,  Iterations Unlimited, Precision 0.000001, Use Automatic Scaling</t>
  </si>
  <si>
    <t>Max Subproblems Unlimited, Max Integer Sols Unlimited, Integer Tolerance 0%,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</si>
  <si>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</si>
  <si>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</si>
  <si>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</si>
  <si>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</si>
  <si>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</si>
  <si>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</si>
  <si>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</si>
  <si>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</si>
  <si>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</si>
  <si>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</si>
  <si>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</si>
  <si>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</si>
  <si>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$N$9</t>
  </si>
  <si>
    <t>Total Profit: Net Profit</t>
  </si>
  <si>
    <t>$C$2</t>
  </si>
  <si>
    <t>CBD Mall Open Site (X_j)</t>
  </si>
  <si>
    <t>$D$2</t>
  </si>
  <si>
    <t>CBD Mall Standard (S_j)</t>
  </si>
  <si>
    <t>$E$2</t>
  </si>
  <si>
    <t>CBD Mall Fast (F_j)</t>
  </si>
  <si>
    <t>$C$3</t>
  </si>
  <si>
    <t>North Metro Open Site (X_j)</t>
  </si>
  <si>
    <t>$D$3</t>
  </si>
  <si>
    <t>North Metro Standard (S_j)</t>
  </si>
  <si>
    <t>$E$3</t>
  </si>
  <si>
    <t>North Metro Fast (F_j)</t>
  </si>
  <si>
    <t>$C$4</t>
  </si>
  <si>
    <t>Tech Park Open Site (X_j)</t>
  </si>
  <si>
    <t>$D$4</t>
  </si>
  <si>
    <t>Tech Park Standard (S_j)</t>
  </si>
  <si>
    <t>$E$4</t>
  </si>
  <si>
    <t>Tech Park Fast (F_j)</t>
  </si>
  <si>
    <t>$C$5</t>
  </si>
  <si>
    <t>University Open Site (X_j)</t>
  </si>
  <si>
    <t>$D$5</t>
  </si>
  <si>
    <t>University Standard (S_j)</t>
  </si>
  <si>
    <t>$E$5</t>
  </si>
  <si>
    <t>University Fast (F_j)</t>
  </si>
  <si>
    <t>$C$6</t>
  </si>
  <si>
    <t>Highway Hub Open Site (X_j)</t>
  </si>
  <si>
    <t>$D$6</t>
  </si>
  <si>
    <t>Highway Hub Standard (S_j)</t>
  </si>
  <si>
    <t>$E$6</t>
  </si>
  <si>
    <t>Highway Hub Fast (F_j)</t>
  </si>
  <si>
    <t>$C$7</t>
  </si>
  <si>
    <t>South Plaza Open Site (X_j)</t>
  </si>
  <si>
    <t>$D$7</t>
  </si>
  <si>
    <t>South Plaza Standard (S_j)</t>
  </si>
  <si>
    <t>$E$7</t>
  </si>
  <si>
    <t>South Plaza Fast (F_j)</t>
  </si>
  <si>
    <t>$D$12</t>
  </si>
  <si>
    <t>Z1 Zone Covered? (Y)</t>
  </si>
  <si>
    <t>$D$13</t>
  </si>
  <si>
    <t>Z2 Zone Covered? (Y)</t>
  </si>
  <si>
    <t>$D$14</t>
  </si>
  <si>
    <t>Z3 Zone Covered? (Y)</t>
  </si>
  <si>
    <t>$D$15</t>
  </si>
  <si>
    <t>Z4 Zone Covered? (Y)</t>
  </si>
  <si>
    <t>$D$16</t>
  </si>
  <si>
    <t>Z5 Zone Covered? (Y)</t>
  </si>
  <si>
    <t>$D$17</t>
  </si>
  <si>
    <t>Z6 Zone Covered? (Y)</t>
  </si>
  <si>
    <t>$D$12&lt;=$C$12</t>
  </si>
  <si>
    <t>Not Binding</t>
  </si>
  <si>
    <t>$D$13&lt;=$C$13</t>
  </si>
  <si>
    <t>Binding</t>
  </si>
  <si>
    <t>$D$14&lt;=$C$14</t>
  </si>
  <si>
    <t>$D$15&lt;=$C$15</t>
  </si>
  <si>
    <t>$D$16&lt;=$C$16</t>
  </si>
  <si>
    <t>$D$17&lt;=$C$17</t>
  </si>
  <si>
    <t>$F$19</t>
  </si>
  <si>
    <t>Coverage %: Total Chargers</t>
  </si>
  <si>
    <t>$F$2</t>
  </si>
  <si>
    <t>CBD Mall Total Chargers</t>
  </si>
  <si>
    <t>$F$2&lt;=$G$2</t>
  </si>
  <si>
    <t>$F$3</t>
  </si>
  <si>
    <t>North Metro Total Chargers</t>
  </si>
  <si>
    <t>$F$3&lt;=$G$3</t>
  </si>
  <si>
    <t>$F$4</t>
  </si>
  <si>
    <t>Tech Park Total Chargers</t>
  </si>
  <si>
    <t>$F$4&lt;=$G$4</t>
  </si>
  <si>
    <t>$F$5</t>
  </si>
  <si>
    <t>University Total Chargers</t>
  </si>
  <si>
    <t>$F$5&lt;=$G$5</t>
  </si>
  <si>
    <t>$F$6</t>
  </si>
  <si>
    <t>Highway Hub Total Chargers</t>
  </si>
  <si>
    <t>$F$6&lt;=$G$6</t>
  </si>
  <si>
    <t>$F$7</t>
  </si>
  <si>
    <t>South Plaza Total Chargers</t>
  </si>
  <si>
    <t>$F$7&lt;=$G$7</t>
  </si>
  <si>
    <t>$H$2</t>
  </si>
  <si>
    <t>CBD Mall Power (kW)</t>
  </si>
  <si>
    <t>$H$2&lt;=$I$2</t>
  </si>
  <si>
    <t>$H$3</t>
  </si>
  <si>
    <t>North Metro Power (kW)</t>
  </si>
  <si>
    <t>$H$3&lt;=$I$3</t>
  </si>
  <si>
    <t>$H$4</t>
  </si>
  <si>
    <t>Tech Park Power (kW)</t>
  </si>
  <si>
    <t>$H$4&lt;=$I$4</t>
  </si>
  <si>
    <t>$H$5</t>
  </si>
  <si>
    <t>University Power (kW)</t>
  </si>
  <si>
    <t>$H$5&lt;=$I$5</t>
  </si>
  <si>
    <t>$H$6</t>
  </si>
  <si>
    <t>Highway Hub Power (kW)</t>
  </si>
  <si>
    <t>$H$6&lt;=$I$6</t>
  </si>
  <si>
    <t>$H$7</t>
  </si>
  <si>
    <t>South Plaza Power (kW)</t>
  </si>
  <si>
    <t>$H$7&lt;=$I$7</t>
  </si>
  <si>
    <t>$J$9</t>
  </si>
  <si>
    <t>Total CapEx: CapEx (Lakh)</t>
  </si>
  <si>
    <t>$J$9&lt;=450</t>
  </si>
  <si>
    <t>$C$2:$C$7=Binary</t>
  </si>
  <si>
    <t>Binary</t>
  </si>
  <si>
    <t>$D$12:$D$17=Binary</t>
  </si>
  <si>
    <t>$D$2:$E$7=Integer</t>
  </si>
  <si>
    <t>Report Created: 16-09-2026 14:11:40</t>
  </si>
  <si>
    <t>Solution Time: 0.75 Seconds.</t>
  </si>
  <si>
    <t>Iterations: 7 Subproblems: 168</t>
  </si>
  <si>
    <t>$F$19&gt;=0.9</t>
  </si>
  <si>
    <t>A (Parameter)</t>
  </si>
  <si>
    <t>B (Value)</t>
  </si>
  <si>
    <t>EV Adoption Growth (Low)</t>
  </si>
  <si>
    <t>EV Adoption Growth (High)</t>
  </si>
  <si>
    <t>Session Length Variance</t>
  </si>
  <si>
    <t>Grid Failure Probability</t>
  </si>
  <si>
    <t>Live Demand Multiplier:</t>
  </si>
  <si>
    <t>Scenario</t>
  </si>
  <si>
    <t>Simulated Net Profit</t>
  </si>
  <si>
    <t>Average (Expected) Profit:</t>
  </si>
  <si>
    <t>Worst-Case Profit (5th Percentile)</t>
  </si>
  <si>
    <t>Best-Case Profit (95th Percentile)</t>
  </si>
  <si>
    <t>Probability of Loss: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</si>
</sst>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1F1F1F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2" xfId="0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5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6" fillId="0" borderId="4" xfId="0" applyFont="1" applyBorder="1" applyAlignment="1">
      <alignment vertical="center" wrapText="1" readingOrder="1"/>
    </xf>
    <xf numFmtId="9" fontId="6" fillId="0" borderId="4" xfId="0" applyNumberFormat="1" applyFont="1" applyBorder="1" applyAlignment="1">
      <alignment vertical="center" wrapTex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2" workbookViewId="0">
      <selection activeCell="F16" sqref="F16"/>
    </sheetView>
  </sheetViews>
  <sheetFormatPr defaultRowHeight="14.5"/>
  <sheetData>
    <row r="1" spans="1:6">
      <c r="A1" s="1" t="s">
        <v>0</v>
      </c>
    </row>
    <row r="2" spans="1:6">
      <c r="A2" t="s">
        <v>1</v>
      </c>
      <c r="B2" t="s">
        <v>2</v>
      </c>
      <c r="C2" t="s">
        <v>3</v>
      </c>
    </row>
    <row r="3" spans="1:6">
      <c r="A3" t="s">
        <v>4</v>
      </c>
      <c r="B3">
        <v>450</v>
      </c>
      <c r="C3" t="s">
        <v>5</v>
      </c>
    </row>
    <row r="4" spans="1:6">
      <c r="A4" t="s">
        <v>6</v>
      </c>
      <c r="B4">
        <v>0.9</v>
      </c>
      <c r="C4" t="s">
        <v>7</v>
      </c>
    </row>
    <row r="5" spans="1:6">
      <c r="A5" t="s">
        <v>8</v>
      </c>
      <c r="B5">
        <v>0.85</v>
      </c>
      <c r="C5" t="s">
        <v>7</v>
      </c>
    </row>
    <row r="6" spans="1:6">
      <c r="A6" t="s">
        <v>9</v>
      </c>
      <c r="B6">
        <v>2</v>
      </c>
      <c r="C6" t="s">
        <v>10</v>
      </c>
    </row>
    <row r="8" spans="1:6">
      <c r="A8" s="1" t="s">
        <v>11</v>
      </c>
    </row>
    <row r="9" spans="1:6">
      <c r="A9" t="s">
        <v>12</v>
      </c>
      <c r="B9" t="s">
        <v>13</v>
      </c>
      <c r="C9" t="s">
        <v>14</v>
      </c>
      <c r="D9" t="s">
        <v>15</v>
      </c>
      <c r="E9" t="s">
        <v>16</v>
      </c>
    </row>
    <row r="10" spans="1:6">
      <c r="A10" t="s">
        <v>17</v>
      </c>
      <c r="B10">
        <v>8</v>
      </c>
      <c r="C10">
        <v>16</v>
      </c>
      <c r="D10">
        <v>40</v>
      </c>
      <c r="E10">
        <v>185</v>
      </c>
    </row>
    <row r="11" spans="1:6">
      <c r="A11" t="s">
        <v>18</v>
      </c>
      <c r="B11">
        <v>15</v>
      </c>
      <c r="C11">
        <v>28</v>
      </c>
      <c r="D11">
        <v>80</v>
      </c>
      <c r="E11">
        <v>260</v>
      </c>
    </row>
    <row r="14" spans="1:6">
      <c r="A14" s="1" t="s">
        <v>19</v>
      </c>
    </row>
    <row r="15" spans="1:6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</row>
    <row r="16" spans="1:6">
      <c r="A16" t="s">
        <v>26</v>
      </c>
      <c r="B16" t="s">
        <v>27</v>
      </c>
      <c r="C16">
        <v>70</v>
      </c>
      <c r="D16">
        <v>700</v>
      </c>
      <c r="E16">
        <v>14</v>
      </c>
      <c r="F16">
        <v>3.2</v>
      </c>
    </row>
    <row r="17" spans="1:6">
      <c r="A17" t="s">
        <v>28</v>
      </c>
      <c r="B17" t="s">
        <v>29</v>
      </c>
      <c r="C17">
        <v>48</v>
      </c>
      <c r="D17">
        <v>450</v>
      </c>
      <c r="E17">
        <v>9</v>
      </c>
      <c r="F17">
        <v>2.4</v>
      </c>
    </row>
    <row r="18" spans="1:6">
      <c r="A18" t="s">
        <v>30</v>
      </c>
      <c r="B18" t="s">
        <v>31</v>
      </c>
      <c r="C18">
        <v>65</v>
      </c>
      <c r="D18">
        <v>800</v>
      </c>
      <c r="E18">
        <v>16</v>
      </c>
      <c r="F18">
        <v>3.5</v>
      </c>
    </row>
    <row r="19" spans="1:6">
      <c r="A19" t="s">
        <v>32</v>
      </c>
      <c r="B19" t="s">
        <v>33</v>
      </c>
      <c r="C19">
        <v>42</v>
      </c>
      <c r="D19">
        <v>400</v>
      </c>
      <c r="E19">
        <v>8</v>
      </c>
      <c r="F19">
        <v>2.1</v>
      </c>
    </row>
    <row r="20" spans="1:6">
      <c r="A20" t="s">
        <v>34</v>
      </c>
      <c r="B20" t="s">
        <v>35</v>
      </c>
      <c r="C20">
        <v>55</v>
      </c>
      <c r="D20">
        <v>900</v>
      </c>
      <c r="E20">
        <v>18</v>
      </c>
      <c r="F20">
        <v>2.8</v>
      </c>
    </row>
    <row r="21" spans="1:6">
      <c r="A21" t="s">
        <v>36</v>
      </c>
      <c r="B21" t="s">
        <v>37</v>
      </c>
      <c r="C21">
        <v>45</v>
      </c>
      <c r="D21">
        <v>500</v>
      </c>
      <c r="E21">
        <v>10</v>
      </c>
      <c r="F21">
        <v>2.2999999999999998</v>
      </c>
    </row>
    <row r="23" spans="1:6">
      <c r="A23" s="1" t="s">
        <v>38</v>
      </c>
    </row>
    <row r="24" spans="1:6">
      <c r="A24" t="s">
        <v>39</v>
      </c>
      <c r="B24" t="s">
        <v>40</v>
      </c>
      <c r="C24" t="s">
        <v>41</v>
      </c>
      <c r="D24" t="s">
        <v>42</v>
      </c>
      <c r="E24" t="s">
        <v>43</v>
      </c>
    </row>
    <row r="25" spans="1:6">
      <c r="A25" t="s">
        <v>44</v>
      </c>
      <c r="B25" t="s">
        <v>45</v>
      </c>
      <c r="C25">
        <v>180</v>
      </c>
      <c r="D25">
        <v>0.3</v>
      </c>
      <c r="E25">
        <v>1.35</v>
      </c>
    </row>
    <row r="26" spans="1:6">
      <c r="A26" t="s">
        <v>46</v>
      </c>
      <c r="B26" t="s">
        <v>47</v>
      </c>
      <c r="C26">
        <v>120</v>
      </c>
      <c r="D26">
        <v>0.28000000000000003</v>
      </c>
      <c r="E26">
        <v>1.55</v>
      </c>
    </row>
    <row r="27" spans="1:6">
      <c r="A27" t="s">
        <v>48</v>
      </c>
      <c r="B27" t="s">
        <v>49</v>
      </c>
      <c r="C27">
        <v>220</v>
      </c>
      <c r="D27">
        <v>0.4</v>
      </c>
      <c r="E27">
        <v>1.7</v>
      </c>
    </row>
    <row r="28" spans="1:6">
      <c r="A28" t="s">
        <v>50</v>
      </c>
      <c r="B28" t="s">
        <v>33</v>
      </c>
      <c r="C28">
        <v>100</v>
      </c>
      <c r="D28">
        <v>0.3</v>
      </c>
      <c r="E28">
        <v>1.4</v>
      </c>
    </row>
    <row r="29" spans="1:6">
      <c r="A29" t="s">
        <v>51</v>
      </c>
      <c r="B29" t="s">
        <v>52</v>
      </c>
      <c r="C29">
        <v>160</v>
      </c>
      <c r="D29">
        <v>0.45</v>
      </c>
      <c r="E29">
        <v>1.6</v>
      </c>
    </row>
    <row r="30" spans="1:6">
      <c r="A30" t="s">
        <v>53</v>
      </c>
      <c r="B30" t="s">
        <v>54</v>
      </c>
      <c r="C30">
        <v>140</v>
      </c>
      <c r="D30">
        <v>0.25</v>
      </c>
      <c r="E30">
        <v>1.5</v>
      </c>
    </row>
    <row r="32" spans="1:6">
      <c r="A32" s="1" t="s">
        <v>55</v>
      </c>
    </row>
    <row r="33" spans="1:7">
      <c r="A33" t="s">
        <v>56</v>
      </c>
      <c r="B33" t="s">
        <v>44</v>
      </c>
      <c r="C33" t="s">
        <v>46</v>
      </c>
      <c r="D33" t="s">
        <v>48</v>
      </c>
      <c r="E33" t="s">
        <v>50</v>
      </c>
      <c r="F33" t="s">
        <v>51</v>
      </c>
      <c r="G33" t="s">
        <v>53</v>
      </c>
    </row>
    <row r="34" spans="1:7">
      <c r="A34" t="s">
        <v>26</v>
      </c>
      <c r="B34">
        <v>1</v>
      </c>
      <c r="C34">
        <v>5</v>
      </c>
      <c r="D34">
        <v>4</v>
      </c>
      <c r="E34">
        <v>3</v>
      </c>
      <c r="F34">
        <v>8</v>
      </c>
      <c r="G34">
        <v>7</v>
      </c>
    </row>
    <row r="35" spans="1:7">
      <c r="A35" t="s">
        <v>28</v>
      </c>
      <c r="B35">
        <v>5</v>
      </c>
      <c r="C35">
        <v>1</v>
      </c>
      <c r="D35">
        <v>6</v>
      </c>
      <c r="E35">
        <v>4</v>
      </c>
      <c r="F35">
        <v>9</v>
      </c>
      <c r="G35">
        <v>8</v>
      </c>
    </row>
    <row r="36" spans="1:7">
      <c r="A36" t="s">
        <v>30</v>
      </c>
      <c r="B36">
        <v>4</v>
      </c>
      <c r="C36">
        <v>6</v>
      </c>
      <c r="D36">
        <v>1</v>
      </c>
      <c r="E36">
        <v>4</v>
      </c>
      <c r="F36">
        <v>5</v>
      </c>
      <c r="G36">
        <v>6</v>
      </c>
    </row>
    <row r="37" spans="1:7">
      <c r="A37" t="s">
        <v>32</v>
      </c>
      <c r="B37">
        <v>3</v>
      </c>
      <c r="C37">
        <v>4</v>
      </c>
      <c r="D37">
        <v>4</v>
      </c>
      <c r="E37">
        <v>1</v>
      </c>
      <c r="F37">
        <v>7</v>
      </c>
      <c r="G37">
        <v>5</v>
      </c>
    </row>
    <row r="38" spans="1:7">
      <c r="A38" t="s">
        <v>34</v>
      </c>
      <c r="B38">
        <v>8</v>
      </c>
      <c r="C38">
        <v>9</v>
      </c>
      <c r="D38">
        <v>5</v>
      </c>
      <c r="E38">
        <v>7</v>
      </c>
      <c r="F38">
        <v>1</v>
      </c>
      <c r="G38">
        <v>4</v>
      </c>
    </row>
    <row r="39" spans="1:7">
      <c r="A39" t="s">
        <v>36</v>
      </c>
      <c r="B39">
        <v>7</v>
      </c>
      <c r="C39">
        <v>8</v>
      </c>
      <c r="D39">
        <v>6</v>
      </c>
      <c r="E39">
        <v>5</v>
      </c>
      <c r="F39">
        <v>4</v>
      </c>
      <c r="G3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E1D4-8F41-41C2-869A-BFD845146FFB}">
  <dimension ref="A1:G71"/>
  <sheetViews>
    <sheetView showGridLines="0" topLeftCell="L16" workbookViewId="0">
      <selection activeCell="H18" sqref="H18"/>
    </sheetView>
  </sheetViews>
  <sheetFormatPr defaultRowHeight="14.5"/>
  <cols>
    <col min="1" max="1" width="2.1796875" customWidth="1"/>
    <col min="2" max="2" width="18.36328125" bestFit="1" customWidth="1"/>
    <col min="3" max="3" width="24.7265625" bestFit="1" customWidth="1"/>
    <col min="4" max="4" width="12.453125" bestFit="1" customWidth="1"/>
    <col min="5" max="5" width="13.26953125" bestFit="1" customWidth="1"/>
    <col min="6" max="6" width="10.453125" bestFit="1" customWidth="1"/>
    <col min="7" max="7" width="5" bestFit="1" customWidth="1"/>
  </cols>
  <sheetData>
    <row r="1" spans="1:5">
      <c r="A1" s="3" t="s">
        <v>79</v>
      </c>
    </row>
    <row r="2" spans="1:5">
      <c r="A2" s="3" t="s">
        <v>80</v>
      </c>
    </row>
    <row r="3" spans="1:5">
      <c r="A3" s="3" t="s">
        <v>202</v>
      </c>
    </row>
    <row r="4" spans="1:5">
      <c r="A4" s="3" t="s">
        <v>81</v>
      </c>
    </row>
    <row r="5" spans="1:5">
      <c r="A5" s="3" t="s">
        <v>82</v>
      </c>
    </row>
    <row r="6" spans="1:5">
      <c r="A6" s="3"/>
      <c r="B6" t="s">
        <v>83</v>
      </c>
    </row>
    <row r="7" spans="1:5">
      <c r="A7" s="3"/>
      <c r="B7" t="s">
        <v>203</v>
      </c>
    </row>
    <row r="8" spans="1:5">
      <c r="A8" s="3"/>
      <c r="B8" t="s">
        <v>204</v>
      </c>
    </row>
    <row r="9" spans="1:5">
      <c r="A9" s="3" t="s">
        <v>84</v>
      </c>
    </row>
    <row r="10" spans="1:5">
      <c r="B10" t="s">
        <v>85</v>
      </c>
    </row>
    <row r="11" spans="1:5">
      <c r="B11" t="s">
        <v>86</v>
      </c>
    </row>
    <row r="14" spans="1:5" ht="15" thickBot="1">
      <c r="A14" t="s">
        <v>87</v>
      </c>
    </row>
    <row r="15" spans="1:5" ht="15" thickBot="1">
      <c r="B15" s="5" t="s">
        <v>88</v>
      </c>
      <c r="C15" s="5" t="s">
        <v>89</v>
      </c>
      <c r="D15" s="5" t="s">
        <v>90</v>
      </c>
      <c r="E15" s="5" t="s">
        <v>91</v>
      </c>
    </row>
    <row r="16" spans="1:5" ht="15" thickBot="1">
      <c r="B16" s="4" t="s">
        <v>99</v>
      </c>
      <c r="C16" s="4" t="s">
        <v>100</v>
      </c>
      <c r="D16" s="4">
        <v>45.864000000000004</v>
      </c>
      <c r="E16" s="4">
        <v>44.568000000000005</v>
      </c>
    </row>
    <row r="19" spans="1:6" ht="15" thickBot="1">
      <c r="A19" t="s">
        <v>92</v>
      </c>
    </row>
    <row r="20" spans="1:6" ht="15" thickBot="1">
      <c r="B20" s="5" t="s">
        <v>88</v>
      </c>
      <c r="C20" s="5" t="s">
        <v>89</v>
      </c>
      <c r="D20" s="5" t="s">
        <v>90</v>
      </c>
      <c r="E20" s="5" t="s">
        <v>91</v>
      </c>
      <c r="F20" s="5" t="s">
        <v>93</v>
      </c>
    </row>
    <row r="21" spans="1:6">
      <c r="B21" s="6" t="s">
        <v>101</v>
      </c>
      <c r="C21" s="6" t="s">
        <v>102</v>
      </c>
      <c r="D21" s="6">
        <v>0</v>
      </c>
      <c r="E21" s="6">
        <v>0</v>
      </c>
      <c r="F21" s="6" t="s">
        <v>199</v>
      </c>
    </row>
    <row r="22" spans="1:6">
      <c r="B22" s="6" t="s">
        <v>103</v>
      </c>
      <c r="C22" s="6" t="s">
        <v>104</v>
      </c>
      <c r="D22" s="6">
        <v>0</v>
      </c>
      <c r="E22" s="6">
        <v>0</v>
      </c>
      <c r="F22" s="6" t="s">
        <v>93</v>
      </c>
    </row>
    <row r="23" spans="1:6">
      <c r="B23" s="6" t="s">
        <v>105</v>
      </c>
      <c r="C23" s="6" t="s">
        <v>106</v>
      </c>
      <c r="D23" s="6">
        <v>0</v>
      </c>
      <c r="E23" s="6">
        <v>0</v>
      </c>
      <c r="F23" s="6" t="s">
        <v>93</v>
      </c>
    </row>
    <row r="24" spans="1:6">
      <c r="B24" s="6" t="s">
        <v>107</v>
      </c>
      <c r="C24" s="6" t="s">
        <v>108</v>
      </c>
      <c r="D24" s="6">
        <v>0</v>
      </c>
      <c r="E24" s="6">
        <v>0</v>
      </c>
      <c r="F24" s="6" t="s">
        <v>199</v>
      </c>
    </row>
    <row r="25" spans="1:6">
      <c r="B25" s="6" t="s">
        <v>109</v>
      </c>
      <c r="C25" s="6" t="s">
        <v>110</v>
      </c>
      <c r="D25" s="6">
        <v>0</v>
      </c>
      <c r="E25" s="6">
        <v>0</v>
      </c>
      <c r="F25" s="6" t="s">
        <v>93</v>
      </c>
    </row>
    <row r="26" spans="1:6">
      <c r="B26" s="6" t="s">
        <v>111</v>
      </c>
      <c r="C26" s="6" t="s">
        <v>112</v>
      </c>
      <c r="D26" s="6">
        <v>0</v>
      </c>
      <c r="E26" s="6">
        <v>0</v>
      </c>
      <c r="F26" s="6" t="s">
        <v>93</v>
      </c>
    </row>
    <row r="27" spans="1:6">
      <c r="B27" s="6" t="s">
        <v>113</v>
      </c>
      <c r="C27" s="6" t="s">
        <v>114</v>
      </c>
      <c r="D27" s="6">
        <v>1</v>
      </c>
      <c r="E27" s="6">
        <v>0</v>
      </c>
      <c r="F27" s="6" t="s">
        <v>199</v>
      </c>
    </row>
    <row r="28" spans="1:6">
      <c r="B28" s="6" t="s">
        <v>115</v>
      </c>
      <c r="C28" s="6" t="s">
        <v>116</v>
      </c>
      <c r="D28" s="6">
        <v>0</v>
      </c>
      <c r="E28" s="6">
        <v>0</v>
      </c>
      <c r="F28" s="6" t="s">
        <v>93</v>
      </c>
    </row>
    <row r="29" spans="1:6">
      <c r="B29" s="6" t="s">
        <v>117</v>
      </c>
      <c r="C29" s="6" t="s">
        <v>118</v>
      </c>
      <c r="D29" s="6">
        <v>10</v>
      </c>
      <c r="E29" s="6">
        <v>0</v>
      </c>
      <c r="F29" s="6" t="s">
        <v>93</v>
      </c>
    </row>
    <row r="30" spans="1:6">
      <c r="B30" s="6" t="s">
        <v>119</v>
      </c>
      <c r="C30" s="6" t="s">
        <v>120</v>
      </c>
      <c r="D30" s="6">
        <v>0</v>
      </c>
      <c r="E30" s="6">
        <v>1</v>
      </c>
      <c r="F30" s="6" t="s">
        <v>199</v>
      </c>
    </row>
    <row r="31" spans="1:6">
      <c r="B31" s="6" t="s">
        <v>121</v>
      </c>
      <c r="C31" s="6" t="s">
        <v>122</v>
      </c>
      <c r="D31" s="6">
        <v>0</v>
      </c>
      <c r="E31" s="6">
        <v>0</v>
      </c>
      <c r="F31" s="6" t="s">
        <v>93</v>
      </c>
    </row>
    <row r="32" spans="1:6">
      <c r="B32" s="6" t="s">
        <v>123</v>
      </c>
      <c r="C32" s="6" t="s">
        <v>124</v>
      </c>
      <c r="D32" s="6">
        <v>0</v>
      </c>
      <c r="E32" s="6">
        <v>5</v>
      </c>
      <c r="F32" s="6" t="s">
        <v>93</v>
      </c>
    </row>
    <row r="33" spans="1:7">
      <c r="B33" s="6" t="s">
        <v>125</v>
      </c>
      <c r="C33" s="6" t="s">
        <v>126</v>
      </c>
      <c r="D33" s="6">
        <v>1</v>
      </c>
      <c r="E33" s="6">
        <v>1</v>
      </c>
      <c r="F33" s="6" t="s">
        <v>199</v>
      </c>
    </row>
    <row r="34" spans="1:7">
      <c r="B34" s="6" t="s">
        <v>127</v>
      </c>
      <c r="C34" s="6" t="s">
        <v>128</v>
      </c>
      <c r="D34" s="6">
        <v>0</v>
      </c>
      <c r="E34" s="6">
        <v>0</v>
      </c>
      <c r="F34" s="6" t="s">
        <v>93</v>
      </c>
    </row>
    <row r="35" spans="1:7">
      <c r="B35" s="6" t="s">
        <v>129</v>
      </c>
      <c r="C35" s="6" t="s">
        <v>130</v>
      </c>
      <c r="D35" s="6">
        <v>11</v>
      </c>
      <c r="E35" s="6">
        <v>11</v>
      </c>
      <c r="F35" s="6" t="s">
        <v>93</v>
      </c>
    </row>
    <row r="36" spans="1:7">
      <c r="B36" s="6" t="s">
        <v>131</v>
      </c>
      <c r="C36" s="6" t="s">
        <v>132</v>
      </c>
      <c r="D36" s="6">
        <v>0</v>
      </c>
      <c r="E36" s="6">
        <v>1</v>
      </c>
      <c r="F36" s="6" t="s">
        <v>199</v>
      </c>
    </row>
    <row r="37" spans="1:7">
      <c r="B37" s="6" t="s">
        <v>133</v>
      </c>
      <c r="C37" s="6" t="s">
        <v>134</v>
      </c>
      <c r="D37" s="6">
        <v>0</v>
      </c>
      <c r="E37" s="6">
        <v>1</v>
      </c>
      <c r="F37" s="6" t="s">
        <v>93</v>
      </c>
    </row>
    <row r="38" spans="1:7">
      <c r="B38" s="6" t="s">
        <v>135</v>
      </c>
      <c r="C38" s="6" t="s">
        <v>136</v>
      </c>
      <c r="D38" s="6">
        <v>0</v>
      </c>
      <c r="E38" s="6">
        <v>4</v>
      </c>
      <c r="F38" s="6" t="s">
        <v>93</v>
      </c>
    </row>
    <row r="39" spans="1:7">
      <c r="B39" s="6" t="s">
        <v>137</v>
      </c>
      <c r="C39" s="6" t="s">
        <v>138</v>
      </c>
      <c r="D39" s="6">
        <v>0</v>
      </c>
      <c r="E39" s="6">
        <v>1</v>
      </c>
      <c r="F39" s="6" t="s">
        <v>199</v>
      </c>
    </row>
    <row r="40" spans="1:7">
      <c r="B40" s="6" t="s">
        <v>139</v>
      </c>
      <c r="C40" s="6" t="s">
        <v>140</v>
      </c>
      <c r="D40" s="6">
        <v>0</v>
      </c>
      <c r="E40" s="6">
        <v>1</v>
      </c>
      <c r="F40" s="6" t="s">
        <v>199</v>
      </c>
    </row>
    <row r="41" spans="1:7">
      <c r="B41" s="6" t="s">
        <v>141</v>
      </c>
      <c r="C41" s="6" t="s">
        <v>142</v>
      </c>
      <c r="D41" s="6">
        <v>0</v>
      </c>
      <c r="E41" s="6">
        <v>1</v>
      </c>
      <c r="F41" s="6" t="s">
        <v>199</v>
      </c>
    </row>
    <row r="42" spans="1:7">
      <c r="B42" s="6" t="s">
        <v>143</v>
      </c>
      <c r="C42" s="6" t="s">
        <v>144</v>
      </c>
      <c r="D42" s="6">
        <v>0</v>
      </c>
      <c r="E42" s="6">
        <v>1</v>
      </c>
      <c r="F42" s="6" t="s">
        <v>199</v>
      </c>
    </row>
    <row r="43" spans="1:7">
      <c r="B43" s="6" t="s">
        <v>145</v>
      </c>
      <c r="C43" s="6" t="s">
        <v>146</v>
      </c>
      <c r="D43" s="6">
        <v>0</v>
      </c>
      <c r="E43" s="6">
        <v>1</v>
      </c>
      <c r="F43" s="6" t="s">
        <v>199</v>
      </c>
    </row>
    <row r="44" spans="1:7" ht="15" thickBot="1">
      <c r="B44" s="4" t="s">
        <v>147</v>
      </c>
      <c r="C44" s="4" t="s">
        <v>148</v>
      </c>
      <c r="D44" s="4">
        <v>0</v>
      </c>
      <c r="E44" s="4">
        <v>1</v>
      </c>
      <c r="F44" s="4" t="s">
        <v>199</v>
      </c>
    </row>
    <row r="47" spans="1:7" ht="15" thickBot="1">
      <c r="A47" t="s">
        <v>94</v>
      </c>
    </row>
    <row r="48" spans="1:7" ht="15" thickBot="1">
      <c r="B48" s="5" t="s">
        <v>88</v>
      </c>
      <c r="C48" s="5" t="s">
        <v>89</v>
      </c>
      <c r="D48" s="5" t="s">
        <v>95</v>
      </c>
      <c r="E48" s="5" t="s">
        <v>96</v>
      </c>
      <c r="F48" s="5" t="s">
        <v>97</v>
      </c>
      <c r="G48" s="5" t="s">
        <v>98</v>
      </c>
    </row>
    <row r="49" spans="2:7">
      <c r="B49" s="6" t="s">
        <v>137</v>
      </c>
      <c r="C49" s="6" t="s">
        <v>138</v>
      </c>
      <c r="D49" s="6">
        <v>1</v>
      </c>
      <c r="E49" s="6" t="s">
        <v>149</v>
      </c>
      <c r="F49" s="6" t="s">
        <v>152</v>
      </c>
      <c r="G49" s="6">
        <v>0</v>
      </c>
    </row>
    <row r="50" spans="2:7">
      <c r="B50" s="6" t="s">
        <v>139</v>
      </c>
      <c r="C50" s="6" t="s">
        <v>140</v>
      </c>
      <c r="D50" s="6">
        <v>1</v>
      </c>
      <c r="E50" s="6" t="s">
        <v>151</v>
      </c>
      <c r="F50" s="6" t="s">
        <v>152</v>
      </c>
      <c r="G50" s="6">
        <v>0</v>
      </c>
    </row>
    <row r="51" spans="2:7">
      <c r="B51" s="6" t="s">
        <v>141</v>
      </c>
      <c r="C51" s="6" t="s">
        <v>142</v>
      </c>
      <c r="D51" s="6">
        <v>1</v>
      </c>
      <c r="E51" s="6" t="s">
        <v>153</v>
      </c>
      <c r="F51" s="6" t="s">
        <v>152</v>
      </c>
      <c r="G51" s="6">
        <v>0</v>
      </c>
    </row>
    <row r="52" spans="2:7">
      <c r="B52" s="6" t="s">
        <v>143</v>
      </c>
      <c r="C52" s="6" t="s">
        <v>144</v>
      </c>
      <c r="D52" s="6">
        <v>1</v>
      </c>
      <c r="E52" s="6" t="s">
        <v>154</v>
      </c>
      <c r="F52" s="6" t="s">
        <v>152</v>
      </c>
      <c r="G52" s="6">
        <v>0</v>
      </c>
    </row>
    <row r="53" spans="2:7">
      <c r="B53" s="6" t="s">
        <v>145</v>
      </c>
      <c r="C53" s="6" t="s">
        <v>146</v>
      </c>
      <c r="D53" s="6">
        <v>1</v>
      </c>
      <c r="E53" s="6" t="s">
        <v>155</v>
      </c>
      <c r="F53" s="6" t="s">
        <v>150</v>
      </c>
      <c r="G53" s="6">
        <v>1</v>
      </c>
    </row>
    <row r="54" spans="2:7">
      <c r="B54" s="6" t="s">
        <v>147</v>
      </c>
      <c r="C54" s="6" t="s">
        <v>148</v>
      </c>
      <c r="D54" s="6">
        <v>1</v>
      </c>
      <c r="E54" s="6" t="s">
        <v>156</v>
      </c>
      <c r="F54" s="6" t="s">
        <v>150</v>
      </c>
      <c r="G54" s="6">
        <v>1</v>
      </c>
    </row>
    <row r="55" spans="2:7">
      <c r="B55" s="6" t="s">
        <v>157</v>
      </c>
      <c r="C55" s="6" t="s">
        <v>158</v>
      </c>
      <c r="D55" s="6">
        <v>1</v>
      </c>
      <c r="E55" s="6" t="s">
        <v>205</v>
      </c>
      <c r="F55" s="6" t="s">
        <v>150</v>
      </c>
      <c r="G55" s="6">
        <v>9.9999999999999978E-2</v>
      </c>
    </row>
    <row r="56" spans="2:7">
      <c r="B56" s="6" t="s">
        <v>159</v>
      </c>
      <c r="C56" s="6" t="s">
        <v>160</v>
      </c>
      <c r="D56" s="6">
        <v>0</v>
      </c>
      <c r="E56" s="6" t="s">
        <v>161</v>
      </c>
      <c r="F56" s="6" t="s">
        <v>152</v>
      </c>
      <c r="G56" s="6">
        <v>0</v>
      </c>
    </row>
    <row r="57" spans="2:7">
      <c r="B57" s="6" t="s">
        <v>162</v>
      </c>
      <c r="C57" s="6" t="s">
        <v>163</v>
      </c>
      <c r="D57" s="6">
        <v>0</v>
      </c>
      <c r="E57" s="6" t="s">
        <v>164</v>
      </c>
      <c r="F57" s="6" t="s">
        <v>152</v>
      </c>
      <c r="G57" s="6">
        <v>0</v>
      </c>
    </row>
    <row r="58" spans="2:7">
      <c r="B58" s="6" t="s">
        <v>165</v>
      </c>
      <c r="C58" s="6" t="s">
        <v>166</v>
      </c>
      <c r="D58" s="6">
        <v>0</v>
      </c>
      <c r="E58" s="6" t="s">
        <v>167</v>
      </c>
      <c r="F58" s="6" t="s">
        <v>152</v>
      </c>
      <c r="G58" s="6">
        <v>0</v>
      </c>
    </row>
    <row r="59" spans="2:7">
      <c r="B59" s="6" t="s">
        <v>168</v>
      </c>
      <c r="C59" s="6" t="s">
        <v>169</v>
      </c>
      <c r="D59" s="6">
        <v>5</v>
      </c>
      <c r="E59" s="6" t="s">
        <v>170</v>
      </c>
      <c r="F59" s="6" t="s">
        <v>150</v>
      </c>
      <c r="G59" s="6">
        <v>3</v>
      </c>
    </row>
    <row r="60" spans="2:7">
      <c r="B60" s="6" t="s">
        <v>171</v>
      </c>
      <c r="C60" s="6" t="s">
        <v>172</v>
      </c>
      <c r="D60" s="6">
        <v>11</v>
      </c>
      <c r="E60" s="6" t="s">
        <v>173</v>
      </c>
      <c r="F60" s="6" t="s">
        <v>150</v>
      </c>
      <c r="G60" s="6">
        <v>7</v>
      </c>
    </row>
    <row r="61" spans="2:7">
      <c r="B61" s="6" t="s">
        <v>174</v>
      </c>
      <c r="C61" s="6" t="s">
        <v>175</v>
      </c>
      <c r="D61" s="6">
        <v>5</v>
      </c>
      <c r="E61" s="6" t="s">
        <v>176</v>
      </c>
      <c r="F61" s="6" t="s">
        <v>150</v>
      </c>
      <c r="G61" s="6">
        <v>5</v>
      </c>
    </row>
    <row r="62" spans="2:7">
      <c r="B62" s="6" t="s">
        <v>177</v>
      </c>
      <c r="C62" s="6" t="s">
        <v>178</v>
      </c>
      <c r="D62" s="6">
        <v>0</v>
      </c>
      <c r="E62" s="6" t="s">
        <v>179</v>
      </c>
      <c r="F62" s="6" t="s">
        <v>152</v>
      </c>
      <c r="G62" s="6">
        <v>0</v>
      </c>
    </row>
    <row r="63" spans="2:7">
      <c r="B63" s="6" t="s">
        <v>180</v>
      </c>
      <c r="C63" s="6" t="s">
        <v>181</v>
      </c>
      <c r="D63" s="6">
        <v>0</v>
      </c>
      <c r="E63" s="6" t="s">
        <v>182</v>
      </c>
      <c r="F63" s="6" t="s">
        <v>152</v>
      </c>
      <c r="G63" s="6">
        <v>0</v>
      </c>
    </row>
    <row r="64" spans="2:7">
      <c r="B64" s="6" t="s">
        <v>183</v>
      </c>
      <c r="C64" s="6" t="s">
        <v>184</v>
      </c>
      <c r="D64" s="6">
        <v>0</v>
      </c>
      <c r="E64" s="6" t="s">
        <v>185</v>
      </c>
      <c r="F64" s="6" t="s">
        <v>152</v>
      </c>
      <c r="G64" s="6">
        <v>0</v>
      </c>
    </row>
    <row r="65" spans="2:7">
      <c r="B65" s="6" t="s">
        <v>186</v>
      </c>
      <c r="C65" s="6" t="s">
        <v>187</v>
      </c>
      <c r="D65" s="6">
        <v>400</v>
      </c>
      <c r="E65" s="6" t="s">
        <v>188</v>
      </c>
      <c r="F65" s="6" t="s">
        <v>152</v>
      </c>
      <c r="G65" s="6">
        <v>0</v>
      </c>
    </row>
    <row r="66" spans="2:7">
      <c r="B66" s="6" t="s">
        <v>189</v>
      </c>
      <c r="C66" s="6" t="s">
        <v>190</v>
      </c>
      <c r="D66" s="6">
        <v>880</v>
      </c>
      <c r="E66" s="6" t="s">
        <v>191</v>
      </c>
      <c r="F66" s="6" t="s">
        <v>150</v>
      </c>
      <c r="G66" s="6">
        <v>20</v>
      </c>
    </row>
    <row r="67" spans="2:7">
      <c r="B67" s="6" t="s">
        <v>192</v>
      </c>
      <c r="C67" s="6" t="s">
        <v>193</v>
      </c>
      <c r="D67" s="6">
        <v>360</v>
      </c>
      <c r="E67" s="6" t="s">
        <v>194</v>
      </c>
      <c r="F67" s="6" t="s">
        <v>150</v>
      </c>
      <c r="G67" s="6">
        <v>140</v>
      </c>
    </row>
    <row r="68" spans="2:7">
      <c r="B68" s="6" t="s">
        <v>195</v>
      </c>
      <c r="C68" s="6" t="s">
        <v>196</v>
      </c>
      <c r="D68" s="6">
        <v>450</v>
      </c>
      <c r="E68" s="6" t="s">
        <v>197</v>
      </c>
      <c r="F68" s="6" t="s">
        <v>152</v>
      </c>
      <c r="G68" s="6">
        <v>0</v>
      </c>
    </row>
    <row r="69" spans="2:7">
      <c r="B69" s="6" t="s">
        <v>198</v>
      </c>
      <c r="C69" s="6"/>
      <c r="D69" s="6"/>
      <c r="E69" s="6"/>
      <c r="F69" s="6"/>
      <c r="G69" s="6"/>
    </row>
    <row r="70" spans="2:7">
      <c r="B70" s="6" t="s">
        <v>200</v>
      </c>
      <c r="C70" s="6"/>
      <c r="D70" s="6"/>
      <c r="E70" s="6"/>
      <c r="F70" s="6"/>
      <c r="G70" s="6"/>
    </row>
    <row r="71" spans="2:7" ht="15" thickBot="1">
      <c r="B71" s="4" t="s">
        <v>201</v>
      </c>
      <c r="C71" s="4"/>
      <c r="D71" s="4"/>
      <c r="E71" s="4"/>
      <c r="F71" s="4"/>
      <c r="G7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opLeftCell="H1" workbookViewId="0">
      <selection activeCell="N9" sqref="N9"/>
    </sheetView>
  </sheetViews>
  <sheetFormatPr defaultRowHeight="14.5"/>
  <cols>
    <col min="1" max="1" width="13.1796875" bestFit="1" customWidth="1"/>
    <col min="2" max="2" width="15.36328125" bestFit="1" customWidth="1"/>
    <col min="3" max="3" width="18" bestFit="1" customWidth="1"/>
    <col min="4" max="4" width="16" bestFit="1" customWidth="1"/>
    <col min="5" max="5" width="15.26953125" bestFit="1" customWidth="1"/>
    <col min="6" max="6" width="12.90625" bestFit="1" customWidth="1"/>
    <col min="7" max="7" width="11.6328125" bestFit="1" customWidth="1"/>
    <col min="8" max="8" width="10.54296875" bestFit="1" customWidth="1"/>
    <col min="9" max="9" width="11.08984375" bestFit="1" customWidth="1"/>
    <col min="10" max="10" width="11.453125" bestFit="1" customWidth="1"/>
    <col min="11" max="11" width="8.54296875" bestFit="1" customWidth="1"/>
    <col min="12" max="12" width="8.36328125" bestFit="1" customWidth="1"/>
    <col min="13" max="13" width="11.26953125" bestFit="1" customWidth="1"/>
  </cols>
  <sheetData>
    <row r="1" spans="1:14">
      <c r="A1" t="s">
        <v>20</v>
      </c>
      <c r="B1" t="s">
        <v>21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</row>
    <row r="2" spans="1:14">
      <c r="A2" t="s">
        <v>26</v>
      </c>
      <c r="B2" t="s">
        <v>27</v>
      </c>
      <c r="C2" s="2">
        <v>0</v>
      </c>
      <c r="D2" s="2">
        <v>0</v>
      </c>
      <c r="E2" s="2">
        <v>0</v>
      </c>
      <c r="F2">
        <f t="shared" ref="F2:F7" si="0">D2+E2</f>
        <v>0</v>
      </c>
      <c r="G2">
        <f>'1. Master Inputs'!E16*C2</f>
        <v>0</v>
      </c>
      <c r="H2">
        <f>(D2*'1. Master Inputs'!D10) + (E2*'1. Master Inputs'!D11)</f>
        <v>0</v>
      </c>
      <c r="I2">
        <f>'1. Master Inputs'!D16*C2</f>
        <v>0</v>
      </c>
      <c r="J2">
        <f>(C2*'1. Master Inputs'!C16) + (D2*'1. Master Inputs'!B10) + (E2*'1. Master Inputs'!B11)</f>
        <v>0</v>
      </c>
      <c r="K2">
        <f>(D2*'1. Master Inputs'!C10) + (E2*'1. Master Inputs'!C11)</f>
        <v>0</v>
      </c>
      <c r="L2">
        <f ca="1">((D2 * '1. Master Inputs'!$C$10 * '1. Master Inputs'!$E$10) + (E2 * '1. Master Inputs'!$C$11 * '1. Master Inputs'!$E$11)) * '3. Risk Simulation'!$B$6</f>
        <v>0</v>
      </c>
      <c r="M2">
        <f t="shared" ref="M2:M7" ca="1" si="1">(L2*30)/100000</f>
        <v>0</v>
      </c>
      <c r="N2">
        <f ca="1">M2-('1. Master Inputs'!F1*C2)</f>
        <v>0</v>
      </c>
    </row>
    <row r="3" spans="1:14">
      <c r="A3" t="s">
        <v>28</v>
      </c>
      <c r="B3" t="s">
        <v>29</v>
      </c>
      <c r="C3" s="2">
        <v>0</v>
      </c>
      <c r="D3" s="2">
        <v>0</v>
      </c>
      <c r="E3" s="2">
        <v>0</v>
      </c>
      <c r="F3">
        <f t="shared" si="0"/>
        <v>0</v>
      </c>
      <c r="G3">
        <f>'1. Master Inputs'!E17*C3</f>
        <v>0</v>
      </c>
      <c r="H3">
        <f>(D3*'1. Master Inputs'!D10) + (E3*'1. Master Inputs'!D11)</f>
        <v>0</v>
      </c>
      <c r="I3">
        <f>'1. Master Inputs'!D17*C3</f>
        <v>0</v>
      </c>
      <c r="J3">
        <f>(C3*'1. Master Inputs'!C17) + (D3*'1. Master Inputs'!B10) + (E3*'1. Master Inputs'!B11)</f>
        <v>0</v>
      </c>
      <c r="K3">
        <f>(D3*'1. Master Inputs'!C10) + (E3*'1. Master Inputs'!C11)</f>
        <v>0</v>
      </c>
      <c r="L3">
        <f ca="1">((D3 * '1. Master Inputs'!$C$10 * '1. Master Inputs'!$E$10) + (E3 * '1. Master Inputs'!$C$11 * '1. Master Inputs'!$E$11)) * '3. Risk Simulation'!$B$6</f>
        <v>0</v>
      </c>
      <c r="M3">
        <f t="shared" ca="1" si="1"/>
        <v>0</v>
      </c>
      <c r="N3">
        <f ca="1">M3-('1. Master Inputs'!F2*C3)</f>
        <v>0</v>
      </c>
    </row>
    <row r="4" spans="1:14">
      <c r="A4" t="s">
        <v>30</v>
      </c>
      <c r="B4" t="s">
        <v>31</v>
      </c>
      <c r="C4" s="2">
        <v>0</v>
      </c>
      <c r="D4" s="2">
        <v>0</v>
      </c>
      <c r="E4" s="2">
        <v>0</v>
      </c>
      <c r="F4">
        <f t="shared" si="0"/>
        <v>0</v>
      </c>
      <c r="G4">
        <f>'1. Master Inputs'!E18*C4</f>
        <v>0</v>
      </c>
      <c r="H4">
        <f>(D4*'1. Master Inputs'!D10) + (E4*'1. Master Inputs'!D11)</f>
        <v>0</v>
      </c>
      <c r="I4">
        <f>'1. Master Inputs'!D18*C4</f>
        <v>0</v>
      </c>
      <c r="J4">
        <f>(C4*'1. Master Inputs'!C18) + (D4*'1. Master Inputs'!B10) + (E4*'1. Master Inputs'!B11)</f>
        <v>0</v>
      </c>
      <c r="K4">
        <f>(D4*'1. Master Inputs'!C10) + (E4*'1. Master Inputs'!C11)</f>
        <v>0</v>
      </c>
      <c r="L4">
        <f ca="1">((D4 * '1. Master Inputs'!$C$10 * '1. Master Inputs'!$E$10) + (E4 * '1. Master Inputs'!$C$11 * '1. Master Inputs'!$E$11)) * '3. Risk Simulation'!$B$6</f>
        <v>0</v>
      </c>
      <c r="M4">
        <f t="shared" ca="1" si="1"/>
        <v>0</v>
      </c>
      <c r="N4">
        <f ca="1">M4-('1. Master Inputs'!F3*C4)</f>
        <v>0</v>
      </c>
    </row>
    <row r="5" spans="1:14">
      <c r="A5" t="s">
        <v>32</v>
      </c>
      <c r="B5" t="s">
        <v>33</v>
      </c>
      <c r="C5" s="2">
        <v>1</v>
      </c>
      <c r="D5" s="2">
        <v>0</v>
      </c>
      <c r="E5" s="2">
        <v>5</v>
      </c>
      <c r="F5">
        <f t="shared" si="0"/>
        <v>5</v>
      </c>
      <c r="G5">
        <f>'1. Master Inputs'!E19*C5</f>
        <v>8</v>
      </c>
      <c r="H5">
        <f>(D5*'1. Master Inputs'!D10) + (E5*'1. Master Inputs'!D11)</f>
        <v>400</v>
      </c>
      <c r="I5">
        <f>'1. Master Inputs'!D19*C5</f>
        <v>400</v>
      </c>
      <c r="J5">
        <f>(C5*'1. Master Inputs'!C19) + (D5*'1. Master Inputs'!B10) + (E5*'1. Master Inputs'!B11)</f>
        <v>117</v>
      </c>
      <c r="K5">
        <f>(D5*'1. Master Inputs'!C10) + (E5*'1. Master Inputs'!C11)</f>
        <v>140</v>
      </c>
      <c r="L5">
        <f ca="1">((D5 * '1. Master Inputs'!$C$10 * '1. Master Inputs'!$E$10) + (E5 * '1. Master Inputs'!$C$11 * '1. Master Inputs'!$E$11)) * '3. Risk Simulation'!$B$6</f>
        <v>39312</v>
      </c>
      <c r="M5">
        <f t="shared" ca="1" si="1"/>
        <v>11.7936</v>
      </c>
      <c r="N5">
        <f ca="1">M5-('1. Master Inputs'!F4*C5)</f>
        <v>11.7936</v>
      </c>
    </row>
    <row r="6" spans="1:14">
      <c r="A6" t="s">
        <v>34</v>
      </c>
      <c r="B6" t="s">
        <v>35</v>
      </c>
      <c r="C6" s="2">
        <v>1</v>
      </c>
      <c r="D6" s="2">
        <v>0</v>
      </c>
      <c r="E6" s="2">
        <v>11</v>
      </c>
      <c r="F6">
        <f t="shared" si="0"/>
        <v>11</v>
      </c>
      <c r="G6">
        <f>'1. Master Inputs'!E20*C6</f>
        <v>18</v>
      </c>
      <c r="H6">
        <f>(D6*'1. Master Inputs'!D10) + (E6*'1. Master Inputs'!D11)</f>
        <v>880</v>
      </c>
      <c r="I6">
        <f>'1. Master Inputs'!D20*C6</f>
        <v>900</v>
      </c>
      <c r="J6">
        <f>(C6*'1. Master Inputs'!C20) + (D6*'1. Master Inputs'!B10) + (E6*'1. Master Inputs'!B11)</f>
        <v>220</v>
      </c>
      <c r="K6">
        <f>(D6*'1. Master Inputs'!C10) + (E6*'1. Master Inputs'!C11)</f>
        <v>308</v>
      </c>
      <c r="L6">
        <f ca="1">((D6 * '1. Master Inputs'!$C$10 * '1. Master Inputs'!$E$10) + (E6 * '1. Master Inputs'!$C$11 * '1. Master Inputs'!$E$11)) * '3. Risk Simulation'!$B$6</f>
        <v>86486.400000000009</v>
      </c>
      <c r="M6">
        <f t="shared" ca="1" si="1"/>
        <v>25.945920000000005</v>
      </c>
      <c r="N6">
        <f ca="1">M6-('1. Master Inputs'!F5*C6)</f>
        <v>25.945920000000005</v>
      </c>
    </row>
    <row r="7" spans="1:14">
      <c r="A7" t="s">
        <v>36</v>
      </c>
      <c r="B7" t="s">
        <v>37</v>
      </c>
      <c r="C7" s="2">
        <v>1</v>
      </c>
      <c r="D7" s="2">
        <v>1</v>
      </c>
      <c r="E7" s="2">
        <v>4</v>
      </c>
      <c r="F7">
        <f t="shared" si="0"/>
        <v>5</v>
      </c>
      <c r="G7">
        <f>'1. Master Inputs'!E21*C7</f>
        <v>10</v>
      </c>
      <c r="H7">
        <f>(D7*'1. Master Inputs'!D10) + (E7*'1. Master Inputs'!D11)</f>
        <v>360</v>
      </c>
      <c r="I7">
        <f>'1. Master Inputs'!D21*C7</f>
        <v>500</v>
      </c>
      <c r="J7">
        <f>(C7*'1. Master Inputs'!C21) + (D7*'1. Master Inputs'!B10) + (E7*'1. Master Inputs'!B11)</f>
        <v>113</v>
      </c>
      <c r="K7">
        <f>(D7*'1. Master Inputs'!C10) + (E7*'1. Master Inputs'!C11)</f>
        <v>128</v>
      </c>
      <c r="L7">
        <f ca="1">((D7 * '1. Master Inputs'!$C$10 * '1. Master Inputs'!$E$10) + (E7 * '1. Master Inputs'!$C$11 * '1. Master Inputs'!$E$11)) * '3. Risk Simulation'!$B$6</f>
        <v>34646.400000000001</v>
      </c>
      <c r="M7">
        <f t="shared" ca="1" si="1"/>
        <v>10.39392</v>
      </c>
      <c r="N7">
        <f ca="1">M7-('1. Master Inputs'!F6*C7)</f>
        <v>10.39392</v>
      </c>
    </row>
    <row r="9" spans="1:14">
      <c r="I9" t="s">
        <v>69</v>
      </c>
      <c r="J9">
        <f>SUM(J2:J7)</f>
        <v>450</v>
      </c>
      <c r="M9" t="s">
        <v>70</v>
      </c>
      <c r="N9">
        <f ca="1">SUM(N2:N7)</f>
        <v>48.133440000000007</v>
      </c>
    </row>
    <row r="11" spans="1:14">
      <c r="A11" t="s">
        <v>71</v>
      </c>
      <c r="B11" t="s">
        <v>72</v>
      </c>
      <c r="C11" t="s">
        <v>73</v>
      </c>
      <c r="D11" t="s">
        <v>74</v>
      </c>
      <c r="E11" t="s">
        <v>75</v>
      </c>
    </row>
    <row r="12" spans="1:14">
      <c r="A12" t="s">
        <v>44</v>
      </c>
      <c r="B12">
        <v>180</v>
      </c>
      <c r="C12">
        <f>C2+C4+C5</f>
        <v>1</v>
      </c>
      <c r="D12" s="2">
        <v>1</v>
      </c>
      <c r="E12">
        <f t="shared" ref="E12:E17" si="2">B12*D12</f>
        <v>180</v>
      </c>
    </row>
    <row r="13" spans="1:14">
      <c r="A13" t="s">
        <v>46</v>
      </c>
      <c r="B13">
        <v>120</v>
      </c>
      <c r="C13">
        <f>C2+C3+C5</f>
        <v>1</v>
      </c>
      <c r="D13" s="2">
        <v>1</v>
      </c>
      <c r="E13">
        <f t="shared" si="2"/>
        <v>120</v>
      </c>
    </row>
    <row r="14" spans="1:14">
      <c r="A14" t="s">
        <v>48</v>
      </c>
      <c r="B14">
        <v>220</v>
      </c>
      <c r="C14">
        <f>C2+C4+C5</f>
        <v>1</v>
      </c>
      <c r="D14" s="2">
        <v>1</v>
      </c>
      <c r="E14">
        <f t="shared" si="2"/>
        <v>220</v>
      </c>
    </row>
    <row r="15" spans="1:14">
      <c r="A15" t="s">
        <v>50</v>
      </c>
      <c r="B15">
        <v>100</v>
      </c>
      <c r="C15">
        <f>C2+C3+C4+C5</f>
        <v>1</v>
      </c>
      <c r="D15" s="2">
        <v>1</v>
      </c>
      <c r="E15">
        <f t="shared" si="2"/>
        <v>100</v>
      </c>
    </row>
    <row r="16" spans="1:14">
      <c r="A16" t="s">
        <v>51</v>
      </c>
      <c r="B16">
        <v>160</v>
      </c>
      <c r="C16">
        <f>C4+C6+C7</f>
        <v>2</v>
      </c>
      <c r="D16" s="2">
        <v>1</v>
      </c>
      <c r="E16">
        <f t="shared" si="2"/>
        <v>160</v>
      </c>
    </row>
    <row r="17" spans="1:6">
      <c r="A17" t="s">
        <v>53</v>
      </c>
      <c r="B17">
        <v>140</v>
      </c>
      <c r="C17">
        <f>C6+C7</f>
        <v>2</v>
      </c>
      <c r="D17" s="2">
        <v>1</v>
      </c>
      <c r="E17">
        <f t="shared" si="2"/>
        <v>140</v>
      </c>
    </row>
    <row r="19" spans="1:6">
      <c r="A19" t="s">
        <v>76</v>
      </c>
      <c r="B19">
        <f ca="1">SUM(B12:B17)* '3. Risk Simulation'!$B$6</f>
        <v>993.6</v>
      </c>
      <c r="C19" t="s">
        <v>77</v>
      </c>
      <c r="D19">
        <f>SUM(E12:E17)</f>
        <v>920</v>
      </c>
      <c r="E19" t="s">
        <v>78</v>
      </c>
      <c r="F19">
        <f ca="1">D19/B19</f>
        <v>0.92592592592592593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7FDD-8F0F-4498-9DDE-D657B787B5A4}">
  <dimension ref="A1:H1004"/>
  <sheetViews>
    <sheetView tabSelected="1" topLeftCell="D1" workbookViewId="0">
      <selection activeCell="G2" sqref="G2:H5"/>
    </sheetView>
  </sheetViews>
  <sheetFormatPr defaultRowHeight="14.5"/>
  <cols>
    <col min="1" max="1" width="12.08984375" customWidth="1"/>
    <col min="2" max="2" width="12.453125" customWidth="1"/>
    <col min="7" max="7" width="28.90625" bestFit="1" customWidth="1"/>
  </cols>
  <sheetData>
    <row r="1" spans="1:8" ht="28.5" thickBot="1">
      <c r="A1" s="7" t="s">
        <v>206</v>
      </c>
      <c r="B1" s="7" t="s">
        <v>207</v>
      </c>
      <c r="D1" t="s">
        <v>213</v>
      </c>
      <c r="E1" t="s">
        <v>214</v>
      </c>
    </row>
    <row r="2" spans="1:8" ht="42.5" thickBot="1">
      <c r="A2" s="8" t="s">
        <v>208</v>
      </c>
      <c r="B2" s="9">
        <v>0.25</v>
      </c>
      <c r="E2">
        <f ca="1">'2. Optimization Engine'!N9</f>
        <v>48.133440000000007</v>
      </c>
      <c r="G2" t="s">
        <v>215</v>
      </c>
      <c r="H2">
        <f ca="1">AVERAGE(E3:E1002)</f>
        <v>44.53820698310367</v>
      </c>
    </row>
    <row r="3" spans="1:8" ht="42.5" thickBot="1">
      <c r="A3" s="8" t="s">
        <v>209</v>
      </c>
      <c r="B3" s="9">
        <v>0.25</v>
      </c>
      <c r="D3" s="11">
        <v>1</v>
      </c>
      <c r="E3" s="11">
        <f ca="1">'2. Optimization Engine'!$N$9 * (1 + (RAND()-0.5)*0.5)</f>
        <v>49.629468706619448</v>
      </c>
      <c r="G3" t="s">
        <v>216</v>
      </c>
      <c r="H3">
        <f ca="1">PERCENTILE(E3:E1002, 0.05)</f>
        <v>30.549316788167175</v>
      </c>
    </row>
    <row r="4" spans="1:8" ht="42.5" thickBot="1">
      <c r="A4" s="8" t="s">
        <v>210</v>
      </c>
      <c r="B4" s="10">
        <v>0.15</v>
      </c>
      <c r="D4" s="11">
        <v>2</v>
      </c>
      <c r="E4" s="11">
        <f t="dataTable" ref="E4:E1004" dt2D="0" dtr="0" r1="J5" ca="1"/>
        <v>35.038303961333575</v>
      </c>
      <c r="G4" t="s">
        <v>217</v>
      </c>
      <c r="H4">
        <f ca="1">PERCENTILE(E3:E1002, 0.95)</f>
        <v>60.450983409792705</v>
      </c>
    </row>
    <row r="5" spans="1:8" ht="28.5" thickBot="1">
      <c r="A5" s="8" t="s">
        <v>211</v>
      </c>
      <c r="B5" s="9">
        <v>0.06</v>
      </c>
      <c r="D5" s="11">
        <v>3</v>
      </c>
      <c r="E5" s="11">
        <v>41.593387275667737</v>
      </c>
      <c r="G5" t="s">
        <v>218</v>
      </c>
      <c r="H5">
        <f ca="1">COUNTIF(E3:E1002, "&lt;0")/1000</f>
        <v>0</v>
      </c>
    </row>
    <row r="6" spans="1:8" ht="42.5" thickBot="1">
      <c r="A6" s="7" t="s">
        <v>212</v>
      </c>
      <c r="B6" s="9">
        <f ca="1">1+RANDBETWEEN(-25, 25)/100</f>
        <v>1.08</v>
      </c>
      <c r="D6" s="11">
        <v>4</v>
      </c>
      <c r="E6" s="11">
        <v>38.515964718873605</v>
      </c>
    </row>
    <row r="7" spans="1:8">
      <c r="D7" s="11">
        <v>5</v>
      </c>
      <c r="E7" s="11">
        <v>34.551685285554086</v>
      </c>
    </row>
    <row r="8" spans="1:8">
      <c r="D8" s="11">
        <v>6</v>
      </c>
      <c r="E8" s="11">
        <v>49.443310645866489</v>
      </c>
    </row>
    <row r="9" spans="1:8">
      <c r="D9" s="11">
        <v>7</v>
      </c>
      <c r="E9" s="11">
        <v>38.304746785275611</v>
      </c>
    </row>
    <row r="10" spans="1:8">
      <c r="D10" s="11">
        <v>8</v>
      </c>
      <c r="E10" s="11">
        <v>32.334604590640737</v>
      </c>
    </row>
    <row r="11" spans="1:8">
      <c r="D11" s="11">
        <v>9</v>
      </c>
      <c r="E11" s="11">
        <v>31.063682687073801</v>
      </c>
    </row>
    <row r="12" spans="1:8">
      <c r="D12" s="11">
        <v>10</v>
      </c>
      <c r="E12" s="11">
        <v>53.616336509346255</v>
      </c>
    </row>
    <row r="13" spans="1:8">
      <c r="D13" s="11">
        <v>11</v>
      </c>
      <c r="E13" s="11">
        <v>48.85804161201051</v>
      </c>
    </row>
    <row r="14" spans="1:8">
      <c r="D14" s="11">
        <v>12</v>
      </c>
      <c r="E14" s="11">
        <v>55.323931157065594</v>
      </c>
    </row>
    <row r="15" spans="1:8">
      <c r="D15" s="11">
        <v>13</v>
      </c>
      <c r="E15" s="11">
        <v>44.478811424212246</v>
      </c>
    </row>
    <row r="16" spans="1:8">
      <c r="D16" s="11">
        <v>14</v>
      </c>
      <c r="E16" s="11">
        <v>44.482793970582634</v>
      </c>
    </row>
    <row r="17" spans="4:5">
      <c r="D17" s="11">
        <v>15</v>
      </c>
      <c r="E17" s="11">
        <v>36.920476143561068</v>
      </c>
    </row>
    <row r="18" spans="4:5">
      <c r="D18" s="11">
        <v>16</v>
      </c>
      <c r="E18" s="11">
        <v>35.719560313006511</v>
      </c>
    </row>
    <row r="19" spans="4:5">
      <c r="D19" s="11">
        <v>17</v>
      </c>
      <c r="E19" s="11">
        <v>45.578210114345929</v>
      </c>
    </row>
    <row r="20" spans="4:5">
      <c r="D20" s="11">
        <v>18</v>
      </c>
      <c r="E20" s="11">
        <v>37.037614234278614</v>
      </c>
    </row>
    <row r="21" spans="4:5">
      <c r="D21" s="11">
        <v>19</v>
      </c>
      <c r="E21" s="11">
        <v>50.048249821087488</v>
      </c>
    </row>
    <row r="22" spans="4:5">
      <c r="D22" s="11">
        <v>20</v>
      </c>
      <c r="E22" s="11">
        <v>50.126688251186749</v>
      </c>
    </row>
    <row r="23" spans="4:5">
      <c r="D23" s="11">
        <v>21</v>
      </c>
      <c r="E23" s="11">
        <v>42.032247376439635</v>
      </c>
    </row>
    <row r="24" spans="4:5">
      <c r="D24" s="11">
        <v>22</v>
      </c>
      <c r="E24" s="11">
        <v>34.632723222552421</v>
      </c>
    </row>
    <row r="25" spans="4:5">
      <c r="D25" s="11">
        <v>23</v>
      </c>
      <c r="E25" s="11">
        <v>44.664076894042488</v>
      </c>
    </row>
    <row r="26" spans="4:5">
      <c r="D26" s="11">
        <v>24</v>
      </c>
      <c r="E26" s="11">
        <v>27.477712056617122</v>
      </c>
    </row>
    <row r="27" spans="4:5">
      <c r="D27" s="11">
        <v>25</v>
      </c>
      <c r="E27" s="11">
        <v>48.990116350163014</v>
      </c>
    </row>
    <row r="28" spans="4:5">
      <c r="D28" s="11">
        <v>26</v>
      </c>
      <c r="E28" s="11">
        <v>46.156648756333112</v>
      </c>
    </row>
    <row r="29" spans="4:5">
      <c r="D29" s="11">
        <v>27</v>
      </c>
      <c r="E29" s="11">
        <v>35.390640690635728</v>
      </c>
    </row>
    <row r="30" spans="4:5">
      <c r="D30" s="11">
        <v>28</v>
      </c>
      <c r="E30" s="11">
        <v>50.467884727253868</v>
      </c>
    </row>
    <row r="31" spans="4:5">
      <c r="D31" s="11">
        <v>29</v>
      </c>
      <c r="E31" s="11">
        <v>57.389066425849975</v>
      </c>
    </row>
    <row r="32" spans="4:5">
      <c r="D32" s="11">
        <v>30</v>
      </c>
      <c r="E32" s="11">
        <v>39.605122040376244</v>
      </c>
    </row>
    <row r="33" spans="4:5">
      <c r="D33" s="11">
        <v>31</v>
      </c>
      <c r="E33" s="11">
        <v>38.245948713414428</v>
      </c>
    </row>
    <row r="34" spans="4:5">
      <c r="D34" s="11">
        <v>32</v>
      </c>
      <c r="E34" s="11">
        <v>30.553326212617915</v>
      </c>
    </row>
    <row r="35" spans="4:5">
      <c r="D35" s="11">
        <v>33</v>
      </c>
      <c r="E35" s="11">
        <v>42.193235514644662</v>
      </c>
    </row>
    <row r="36" spans="4:5">
      <c r="D36" s="11">
        <v>34</v>
      </c>
      <c r="E36" s="11">
        <v>40.400665954227186</v>
      </c>
    </row>
    <row r="37" spans="4:5">
      <c r="D37" s="11">
        <v>35</v>
      </c>
      <c r="E37" s="11">
        <v>53.239466849778303</v>
      </c>
    </row>
    <row r="38" spans="4:5">
      <c r="D38" s="11">
        <v>36</v>
      </c>
      <c r="E38" s="11">
        <v>34.427781548211463</v>
      </c>
    </row>
    <row r="39" spans="4:5">
      <c r="D39" s="11">
        <v>37</v>
      </c>
      <c r="E39" s="11">
        <v>38.763492450130471</v>
      </c>
    </row>
    <row r="40" spans="4:5">
      <c r="D40" s="11">
        <v>38</v>
      </c>
      <c r="E40" s="11">
        <v>55.912303025743292</v>
      </c>
    </row>
    <row r="41" spans="4:5">
      <c r="D41" s="11">
        <v>39</v>
      </c>
      <c r="E41" s="11">
        <v>47.883437684322566</v>
      </c>
    </row>
    <row r="42" spans="4:5">
      <c r="D42" s="11">
        <v>40</v>
      </c>
      <c r="E42" s="11">
        <v>60.299821700209463</v>
      </c>
    </row>
    <row r="43" spans="4:5">
      <c r="D43" s="11">
        <v>41</v>
      </c>
      <c r="E43" s="11">
        <v>36.212649177124071</v>
      </c>
    </row>
    <row r="44" spans="4:5">
      <c r="D44" s="11">
        <v>42</v>
      </c>
      <c r="E44" s="11">
        <v>42.518767884093641</v>
      </c>
    </row>
    <row r="45" spans="4:5">
      <c r="D45" s="11">
        <v>43</v>
      </c>
      <c r="E45" s="11">
        <v>38.042771548140067</v>
      </c>
    </row>
    <row r="46" spans="4:5">
      <c r="D46" s="11">
        <v>44</v>
      </c>
      <c r="E46" s="11">
        <v>40.431734851799476</v>
      </c>
    </row>
    <row r="47" spans="4:5">
      <c r="D47" s="11">
        <v>45</v>
      </c>
      <c r="E47" s="11">
        <v>47.564910799548102</v>
      </c>
    </row>
    <row r="48" spans="4:5">
      <c r="D48" s="11">
        <v>46</v>
      </c>
      <c r="E48" s="11">
        <v>41.219303006881105</v>
      </c>
    </row>
    <row r="49" spans="4:5">
      <c r="D49" s="11">
        <v>47</v>
      </c>
      <c r="E49" s="11">
        <v>33.705413818745669</v>
      </c>
    </row>
    <row r="50" spans="4:5">
      <c r="D50" s="11">
        <v>48</v>
      </c>
      <c r="E50" s="11">
        <v>52.46721265096464</v>
      </c>
    </row>
    <row r="51" spans="4:5">
      <c r="D51" s="11">
        <v>49</v>
      </c>
      <c r="E51" s="11">
        <v>49.043421692504388</v>
      </c>
    </row>
    <row r="52" spans="4:5">
      <c r="D52" s="11">
        <v>50</v>
      </c>
      <c r="E52" s="11">
        <v>47.089587947142867</v>
      </c>
    </row>
    <row r="53" spans="4:5">
      <c r="D53" s="11">
        <v>51</v>
      </c>
      <c r="E53" s="11">
        <v>34.546297971567562</v>
      </c>
    </row>
    <row r="54" spans="4:5">
      <c r="D54" s="11">
        <v>52</v>
      </c>
      <c r="E54" s="11">
        <v>45.068743197544876</v>
      </c>
    </row>
    <row r="55" spans="4:5">
      <c r="D55" s="11">
        <v>53</v>
      </c>
      <c r="E55" s="11">
        <v>47.183482564106988</v>
      </c>
    </row>
    <row r="56" spans="4:5">
      <c r="D56" s="11">
        <v>54</v>
      </c>
      <c r="E56" s="11">
        <v>37.074248862330222</v>
      </c>
    </row>
    <row r="57" spans="4:5">
      <c r="D57" s="11">
        <v>55</v>
      </c>
      <c r="E57" s="11">
        <v>60.488775156434222</v>
      </c>
    </row>
    <row r="58" spans="4:5">
      <c r="D58" s="11">
        <v>56</v>
      </c>
      <c r="E58" s="11">
        <v>46.224004383424649</v>
      </c>
    </row>
    <row r="59" spans="4:5">
      <c r="D59" s="11">
        <v>57</v>
      </c>
      <c r="E59" s="11">
        <v>36.856040715695748</v>
      </c>
    </row>
    <row r="60" spans="4:5">
      <c r="D60" s="11">
        <v>58</v>
      </c>
      <c r="E60" s="11">
        <v>39.30744458043074</v>
      </c>
    </row>
    <row r="61" spans="4:5">
      <c r="D61" s="11">
        <v>59</v>
      </c>
      <c r="E61" s="11">
        <v>45.91319282406748</v>
      </c>
    </row>
    <row r="62" spans="4:5">
      <c r="D62" s="11">
        <v>60</v>
      </c>
      <c r="E62" s="11">
        <v>53.938753826534807</v>
      </c>
    </row>
    <row r="63" spans="4:5">
      <c r="D63" s="11">
        <v>61</v>
      </c>
      <c r="E63" s="11">
        <v>36.159676428998218</v>
      </c>
    </row>
    <row r="64" spans="4:5">
      <c r="D64" s="11">
        <v>62</v>
      </c>
      <c r="E64" s="11">
        <v>38.697919184967205</v>
      </c>
    </row>
    <row r="65" spans="4:5">
      <c r="D65" s="11">
        <v>63</v>
      </c>
      <c r="E65" s="11">
        <v>60.457562709998292</v>
      </c>
    </row>
    <row r="66" spans="4:5">
      <c r="D66" s="11">
        <v>64</v>
      </c>
      <c r="E66" s="11">
        <v>61.432799683393704</v>
      </c>
    </row>
    <row r="67" spans="4:5">
      <c r="D67" s="11">
        <v>65</v>
      </c>
      <c r="E67" s="11">
        <v>61.840487323110892</v>
      </c>
    </row>
    <row r="68" spans="4:5">
      <c r="D68" s="11">
        <v>66</v>
      </c>
      <c r="E68" s="11">
        <v>53.50838226799933</v>
      </c>
    </row>
    <row r="69" spans="4:5">
      <c r="D69" s="11">
        <v>67</v>
      </c>
      <c r="E69" s="11">
        <v>49.710482068582593</v>
      </c>
    </row>
    <row r="70" spans="4:5">
      <c r="D70" s="11">
        <v>68</v>
      </c>
      <c r="E70" s="11">
        <v>33.520341376280975</v>
      </c>
    </row>
    <row r="71" spans="4:5">
      <c r="D71" s="11">
        <v>69</v>
      </c>
      <c r="E71" s="11">
        <v>34.137362634460985</v>
      </c>
    </row>
    <row r="72" spans="4:5">
      <c r="D72" s="11">
        <v>70</v>
      </c>
      <c r="E72" s="11">
        <v>51.059260042018266</v>
      </c>
    </row>
    <row r="73" spans="4:5">
      <c r="D73" s="11">
        <v>71</v>
      </c>
      <c r="E73" s="11">
        <v>39.640264419186515</v>
      </c>
    </row>
    <row r="74" spans="4:5">
      <c r="D74" s="11">
        <v>72</v>
      </c>
      <c r="E74" s="11">
        <v>34.418950631366371</v>
      </c>
    </row>
    <row r="75" spans="4:5">
      <c r="D75" s="11">
        <v>73</v>
      </c>
      <c r="E75" s="11">
        <v>40.433027205619716</v>
      </c>
    </row>
    <row r="76" spans="4:5">
      <c r="D76" s="11">
        <v>74</v>
      </c>
      <c r="E76" s="11">
        <v>52.366328083782271</v>
      </c>
    </row>
    <row r="77" spans="4:5">
      <c r="D77" s="11">
        <v>75</v>
      </c>
      <c r="E77" s="11">
        <v>47.59454437213207</v>
      </c>
    </row>
    <row r="78" spans="4:5">
      <c r="D78" s="11">
        <v>76</v>
      </c>
      <c r="E78" s="11">
        <v>32.972716997180939</v>
      </c>
    </row>
    <row r="79" spans="4:5">
      <c r="D79" s="11">
        <v>77</v>
      </c>
      <c r="E79" s="11">
        <v>34.927846572955787</v>
      </c>
    </row>
    <row r="80" spans="4:5">
      <c r="D80" s="11">
        <v>78</v>
      </c>
      <c r="E80" s="11">
        <v>34.002474878645181</v>
      </c>
    </row>
    <row r="81" spans="4:5">
      <c r="D81" s="11">
        <v>79</v>
      </c>
      <c r="E81" s="11">
        <v>44.964409539317856</v>
      </c>
    </row>
    <row r="82" spans="4:5">
      <c r="D82" s="11">
        <v>80</v>
      </c>
      <c r="E82" s="11">
        <v>46.674863357464638</v>
      </c>
    </row>
    <row r="83" spans="4:5">
      <c r="D83" s="11">
        <v>81</v>
      </c>
      <c r="E83" s="11">
        <v>41.092949001818077</v>
      </c>
    </row>
    <row r="84" spans="4:5">
      <c r="D84" s="11">
        <v>82</v>
      </c>
      <c r="E84" s="11">
        <v>38.398841526673465</v>
      </c>
    </row>
    <row r="85" spans="4:5">
      <c r="D85" s="11">
        <v>83</v>
      </c>
      <c r="E85" s="11">
        <v>42.438843761030753</v>
      </c>
    </row>
    <row r="86" spans="4:5">
      <c r="D86" s="11">
        <v>84</v>
      </c>
      <c r="E86" s="11">
        <v>38.396591174082069</v>
      </c>
    </row>
    <row r="87" spans="4:5">
      <c r="D87" s="11">
        <v>85</v>
      </c>
      <c r="E87" s="11">
        <v>33.644843599381815</v>
      </c>
    </row>
    <row r="88" spans="4:5">
      <c r="D88" s="11">
        <v>86</v>
      </c>
      <c r="E88" s="11">
        <v>49.31927600817739</v>
      </c>
    </row>
    <row r="89" spans="4:5">
      <c r="D89" s="11">
        <v>87</v>
      </c>
      <c r="E89" s="11">
        <v>38.017761081769834</v>
      </c>
    </row>
    <row r="90" spans="4:5">
      <c r="D90" s="11">
        <v>88</v>
      </c>
      <c r="E90" s="11">
        <v>42.44189738598206</v>
      </c>
    </row>
    <row r="91" spans="4:5">
      <c r="D91" s="11">
        <v>89</v>
      </c>
      <c r="E91" s="11">
        <v>51.813172517166755</v>
      </c>
    </row>
    <row r="92" spans="4:5">
      <c r="D92" s="11">
        <v>90</v>
      </c>
      <c r="E92" s="11">
        <v>59.068216123907568</v>
      </c>
    </row>
    <row r="93" spans="4:5">
      <c r="D93" s="11">
        <v>91</v>
      </c>
      <c r="E93" s="11">
        <v>45.951821962404026</v>
      </c>
    </row>
    <row r="94" spans="4:5">
      <c r="D94" s="11">
        <v>92</v>
      </c>
      <c r="E94" s="11">
        <v>32.891210936326381</v>
      </c>
    </row>
    <row r="95" spans="4:5">
      <c r="D95" s="11">
        <v>93</v>
      </c>
      <c r="E95" s="11">
        <v>48.082260977234348</v>
      </c>
    </row>
    <row r="96" spans="4:5">
      <c r="D96" s="11">
        <v>94</v>
      </c>
      <c r="E96" s="11">
        <v>50.661076758758469</v>
      </c>
    </row>
    <row r="97" spans="4:5">
      <c r="D97" s="11">
        <v>95</v>
      </c>
      <c r="E97" s="11">
        <v>55.091315982160907</v>
      </c>
    </row>
    <row r="98" spans="4:5">
      <c r="D98" s="11">
        <v>96</v>
      </c>
      <c r="E98" s="11">
        <v>56.033357808449303</v>
      </c>
    </row>
    <row r="99" spans="4:5">
      <c r="D99" s="11">
        <v>97</v>
      </c>
      <c r="E99" s="11">
        <v>51.885666523667382</v>
      </c>
    </row>
    <row r="100" spans="4:5">
      <c r="D100" s="11">
        <v>98</v>
      </c>
      <c r="E100" s="11">
        <v>37.632925918173335</v>
      </c>
    </row>
    <row r="101" spans="4:5">
      <c r="D101" s="11">
        <v>99</v>
      </c>
      <c r="E101" s="11">
        <v>52.56718572703673</v>
      </c>
    </row>
    <row r="102" spans="4:5">
      <c r="D102" s="11">
        <v>100</v>
      </c>
      <c r="E102" s="11">
        <v>39.084278771342696</v>
      </c>
    </row>
    <row r="103" spans="4:5">
      <c r="D103" s="11">
        <v>101</v>
      </c>
      <c r="E103" s="11">
        <v>47.035429967863287</v>
      </c>
    </row>
    <row r="104" spans="4:5">
      <c r="D104" s="11">
        <v>102</v>
      </c>
      <c r="E104" s="11">
        <v>44.565218550698198</v>
      </c>
    </row>
    <row r="105" spans="4:5">
      <c r="D105" s="11">
        <v>103</v>
      </c>
      <c r="E105" s="11">
        <v>34.678302517599299</v>
      </c>
    </row>
    <row r="106" spans="4:5">
      <c r="D106" s="11">
        <v>104</v>
      </c>
      <c r="E106" s="11">
        <v>39.502664644699138</v>
      </c>
    </row>
    <row r="107" spans="4:5">
      <c r="D107" s="11">
        <v>105</v>
      </c>
      <c r="E107" s="11">
        <v>42.516884224948406</v>
      </c>
    </row>
    <row r="108" spans="4:5">
      <c r="D108" s="11">
        <v>106</v>
      </c>
      <c r="E108" s="11">
        <v>25.545157355118189</v>
      </c>
    </row>
    <row r="109" spans="4:5">
      <c r="D109" s="11">
        <v>107</v>
      </c>
      <c r="E109" s="11">
        <v>32.043228717201423</v>
      </c>
    </row>
    <row r="110" spans="4:5">
      <c r="D110" s="11">
        <v>108</v>
      </c>
      <c r="E110" s="11">
        <v>44.584070046693327</v>
      </c>
    </row>
    <row r="111" spans="4:5">
      <c r="D111" s="11">
        <v>109</v>
      </c>
      <c r="E111" s="11">
        <v>66.387261603580441</v>
      </c>
    </row>
    <row r="112" spans="4:5">
      <c r="D112" s="11">
        <v>110</v>
      </c>
      <c r="E112" s="11">
        <v>58.027940136156367</v>
      </c>
    </row>
    <row r="113" spans="4:5">
      <c r="D113" s="11">
        <v>111</v>
      </c>
      <c r="E113" s="11">
        <v>40.119512575739812</v>
      </c>
    </row>
    <row r="114" spans="4:5">
      <c r="D114" s="11">
        <v>112</v>
      </c>
      <c r="E114" s="11">
        <v>29.418071421756927</v>
      </c>
    </row>
    <row r="115" spans="4:5">
      <c r="D115" s="11">
        <v>113</v>
      </c>
      <c r="E115" s="11">
        <v>57.880147088340159</v>
      </c>
    </row>
    <row r="116" spans="4:5">
      <c r="D116" s="11">
        <v>114</v>
      </c>
      <c r="E116" s="11">
        <v>40.19318213051443</v>
      </c>
    </row>
    <row r="117" spans="4:5">
      <c r="D117" s="11">
        <v>115</v>
      </c>
      <c r="E117" s="11">
        <v>38.488854259197552</v>
      </c>
    </row>
    <row r="118" spans="4:5">
      <c r="D118" s="11">
        <v>116</v>
      </c>
      <c r="E118" s="11">
        <v>37.614545413089154</v>
      </c>
    </row>
    <row r="119" spans="4:5">
      <c r="D119" s="11">
        <v>117</v>
      </c>
      <c r="E119" s="11">
        <v>60.822371565639365</v>
      </c>
    </row>
    <row r="120" spans="4:5">
      <c r="D120" s="11">
        <v>118</v>
      </c>
      <c r="E120" s="11">
        <v>43.513886333057442</v>
      </c>
    </row>
    <row r="121" spans="4:5">
      <c r="D121" s="11">
        <v>119</v>
      </c>
      <c r="E121" s="11">
        <v>48.968345008472127</v>
      </c>
    </row>
    <row r="122" spans="4:5">
      <c r="D122" s="11">
        <v>120</v>
      </c>
      <c r="E122" s="11">
        <v>39.761047651577684</v>
      </c>
    </row>
    <row r="123" spans="4:5">
      <c r="D123" s="11">
        <v>121</v>
      </c>
      <c r="E123" s="11">
        <v>45.16307916636211</v>
      </c>
    </row>
    <row r="124" spans="4:5">
      <c r="D124" s="11">
        <v>122</v>
      </c>
      <c r="E124" s="11">
        <v>33.317467844732334</v>
      </c>
    </row>
    <row r="125" spans="4:5">
      <c r="D125" s="11">
        <v>123</v>
      </c>
      <c r="E125" s="11">
        <v>38.350441053535263</v>
      </c>
    </row>
    <row r="126" spans="4:5">
      <c r="D126" s="11">
        <v>124</v>
      </c>
      <c r="E126" s="11">
        <v>51.143089633105497</v>
      </c>
    </row>
    <row r="127" spans="4:5">
      <c r="D127" s="11">
        <v>125</v>
      </c>
      <c r="E127" s="11">
        <v>31.946043425455517</v>
      </c>
    </row>
    <row r="128" spans="4:5">
      <c r="D128" s="11">
        <v>126</v>
      </c>
      <c r="E128" s="11">
        <v>40.397504960472553</v>
      </c>
    </row>
    <row r="129" spans="4:5">
      <c r="D129" s="11">
        <v>127</v>
      </c>
      <c r="E129" s="11">
        <v>50.761805437629931</v>
      </c>
    </row>
    <row r="130" spans="4:5">
      <c r="D130" s="11">
        <v>128</v>
      </c>
      <c r="E130" s="11">
        <v>34.753006080398414</v>
      </c>
    </row>
    <row r="131" spans="4:5">
      <c r="D131" s="11">
        <v>129</v>
      </c>
      <c r="E131" s="11">
        <v>40.150855012035514</v>
      </c>
    </row>
    <row r="132" spans="4:5">
      <c r="D132" s="11">
        <v>130</v>
      </c>
      <c r="E132" s="11">
        <v>52.234445386549659</v>
      </c>
    </row>
    <row r="133" spans="4:5">
      <c r="D133" s="11">
        <v>131</v>
      </c>
      <c r="E133" s="11">
        <v>43.156747943258218</v>
      </c>
    </row>
    <row r="134" spans="4:5">
      <c r="D134" s="11">
        <v>132</v>
      </c>
      <c r="E134" s="11">
        <v>31.040757882788121</v>
      </c>
    </row>
    <row r="135" spans="4:5">
      <c r="D135" s="11">
        <v>133</v>
      </c>
      <c r="E135" s="11">
        <v>42.717339293921597</v>
      </c>
    </row>
    <row r="136" spans="4:5">
      <c r="D136" s="11">
        <v>134</v>
      </c>
      <c r="E136" s="11">
        <v>35.971555441729322</v>
      </c>
    </row>
    <row r="137" spans="4:5">
      <c r="D137" s="11">
        <v>135</v>
      </c>
      <c r="E137" s="11">
        <v>41.821066114500894</v>
      </c>
    </row>
    <row r="138" spans="4:5">
      <c r="D138" s="11">
        <v>136</v>
      </c>
      <c r="E138" s="11">
        <v>33.728808616153181</v>
      </c>
    </row>
    <row r="139" spans="4:5">
      <c r="D139" s="11">
        <v>137</v>
      </c>
      <c r="E139" s="11">
        <v>45.903376930721812</v>
      </c>
    </row>
    <row r="140" spans="4:5">
      <c r="D140" s="11">
        <v>138</v>
      </c>
      <c r="E140" s="11">
        <v>50.417770535096437</v>
      </c>
    </row>
    <row r="141" spans="4:5">
      <c r="D141" s="11">
        <v>139</v>
      </c>
      <c r="E141" s="11">
        <v>38.407862104669071</v>
      </c>
    </row>
    <row r="142" spans="4:5">
      <c r="D142" s="11">
        <v>140</v>
      </c>
      <c r="E142" s="11">
        <v>64.52644056965174</v>
      </c>
    </row>
    <row r="143" spans="4:5">
      <c r="D143" s="11">
        <v>141</v>
      </c>
      <c r="E143" s="11">
        <v>39.158488833498893</v>
      </c>
    </row>
    <row r="144" spans="4:5">
      <c r="D144" s="11">
        <v>142</v>
      </c>
      <c r="E144" s="11">
        <v>53.900109479168684</v>
      </c>
    </row>
    <row r="145" spans="4:5">
      <c r="D145" s="11">
        <v>143</v>
      </c>
      <c r="E145" s="11">
        <v>43.748390734845579</v>
      </c>
    </row>
    <row r="146" spans="4:5">
      <c r="D146" s="11">
        <v>144</v>
      </c>
      <c r="E146" s="11">
        <v>56.818578446992241</v>
      </c>
    </row>
    <row r="147" spans="4:5">
      <c r="D147" s="11">
        <v>145</v>
      </c>
      <c r="E147" s="11">
        <v>39.564134444207212</v>
      </c>
    </row>
    <row r="148" spans="4:5">
      <c r="D148" s="11">
        <v>146</v>
      </c>
      <c r="E148" s="11">
        <v>46.628620882541277</v>
      </c>
    </row>
    <row r="149" spans="4:5">
      <c r="D149" s="11">
        <v>147</v>
      </c>
      <c r="E149" s="11">
        <v>34.77261479208267</v>
      </c>
    </row>
    <row r="150" spans="4:5">
      <c r="D150" s="11">
        <v>148</v>
      </c>
      <c r="E150" s="11">
        <v>39.858296835297267</v>
      </c>
    </row>
    <row r="151" spans="4:5">
      <c r="D151" s="11">
        <v>149</v>
      </c>
      <c r="E151" s="11">
        <v>34.497148208119661</v>
      </c>
    </row>
    <row r="152" spans="4:5">
      <c r="D152" s="11">
        <v>150</v>
      </c>
      <c r="E152" s="11">
        <v>64.322614517048251</v>
      </c>
    </row>
    <row r="153" spans="4:5">
      <c r="D153" s="11">
        <v>151</v>
      </c>
      <c r="E153" s="11">
        <v>48.741493574616641</v>
      </c>
    </row>
    <row r="154" spans="4:5">
      <c r="D154" s="11">
        <v>152</v>
      </c>
      <c r="E154" s="11">
        <v>47.061198826027564</v>
      </c>
    </row>
    <row r="155" spans="4:5">
      <c r="D155" s="11">
        <v>153</v>
      </c>
      <c r="E155" s="11">
        <v>52.933746832916107</v>
      </c>
    </row>
    <row r="156" spans="4:5">
      <c r="D156" s="11">
        <v>154</v>
      </c>
      <c r="E156" s="11">
        <v>34.816693305365959</v>
      </c>
    </row>
    <row r="157" spans="4:5">
      <c r="D157" s="11">
        <v>155</v>
      </c>
      <c r="E157" s="11">
        <v>33.297297811984514</v>
      </c>
    </row>
    <row r="158" spans="4:5">
      <c r="D158" s="11">
        <v>156</v>
      </c>
      <c r="E158" s="11">
        <v>59.692131797853783</v>
      </c>
    </row>
    <row r="159" spans="4:5">
      <c r="D159" s="11">
        <v>157</v>
      </c>
      <c r="E159" s="11">
        <v>36.708843763933061</v>
      </c>
    </row>
    <row r="160" spans="4:5">
      <c r="D160" s="11">
        <v>158</v>
      </c>
      <c r="E160" s="11">
        <v>39.01648228005314</v>
      </c>
    </row>
    <row r="161" spans="4:5">
      <c r="D161" s="11">
        <v>159</v>
      </c>
      <c r="E161" s="11">
        <v>48.216306675073369</v>
      </c>
    </row>
    <row r="162" spans="4:5">
      <c r="D162" s="11">
        <v>160</v>
      </c>
      <c r="E162" s="11">
        <v>26.334588050697072</v>
      </c>
    </row>
    <row r="163" spans="4:5">
      <c r="D163" s="11">
        <v>161</v>
      </c>
      <c r="E163" s="11">
        <v>54.927996527443383</v>
      </c>
    </row>
    <row r="164" spans="4:5">
      <c r="D164" s="11">
        <v>162</v>
      </c>
      <c r="E164" s="11">
        <v>39.791397730735518</v>
      </c>
    </row>
    <row r="165" spans="4:5">
      <c r="D165" s="11">
        <v>163</v>
      </c>
      <c r="E165" s="11">
        <v>33.591122129425131</v>
      </c>
    </row>
    <row r="166" spans="4:5">
      <c r="D166" s="11">
        <v>164</v>
      </c>
      <c r="E166" s="11">
        <v>45.990132904212111</v>
      </c>
    </row>
    <row r="167" spans="4:5">
      <c r="D167" s="11">
        <v>165</v>
      </c>
      <c r="E167" s="11">
        <v>52.797010471206313</v>
      </c>
    </row>
    <row r="168" spans="4:5">
      <c r="D168" s="11">
        <v>166</v>
      </c>
      <c r="E168" s="11">
        <v>40.322129873668608</v>
      </c>
    </row>
    <row r="169" spans="4:5">
      <c r="D169" s="11">
        <v>167</v>
      </c>
      <c r="E169" s="11">
        <v>48.322815260024839</v>
      </c>
    </row>
    <row r="170" spans="4:5">
      <c r="D170" s="11">
        <v>168</v>
      </c>
      <c r="E170" s="11">
        <v>45.068677019824612</v>
      </c>
    </row>
    <row r="171" spans="4:5">
      <c r="D171" s="11">
        <v>169</v>
      </c>
      <c r="E171" s="11">
        <v>47.186938362018978</v>
      </c>
    </row>
    <row r="172" spans="4:5">
      <c r="D172" s="11">
        <v>170</v>
      </c>
      <c r="E172" s="11">
        <v>51.660475681492663</v>
      </c>
    </row>
    <row r="173" spans="4:5">
      <c r="D173" s="11">
        <v>171</v>
      </c>
      <c r="E173" s="11">
        <v>63.412228913751179</v>
      </c>
    </row>
    <row r="174" spans="4:5">
      <c r="D174" s="11">
        <v>172</v>
      </c>
      <c r="E174" s="11">
        <v>45.761538544685216</v>
      </c>
    </row>
    <row r="175" spans="4:5">
      <c r="D175" s="11">
        <v>173</v>
      </c>
      <c r="E175" s="11">
        <v>38.315582994638916</v>
      </c>
    </row>
    <row r="176" spans="4:5">
      <c r="D176" s="11">
        <v>174</v>
      </c>
      <c r="E176" s="11">
        <v>41.43059579015609</v>
      </c>
    </row>
    <row r="177" spans="4:5">
      <c r="D177" s="11">
        <v>175</v>
      </c>
      <c r="E177" s="11">
        <v>45.976866832106396</v>
      </c>
    </row>
    <row r="178" spans="4:5">
      <c r="D178" s="11">
        <v>176</v>
      </c>
      <c r="E178" s="11">
        <v>27.328441177507177</v>
      </c>
    </row>
    <row r="179" spans="4:5">
      <c r="D179" s="11">
        <v>177</v>
      </c>
      <c r="E179" s="11">
        <v>44.801598266372835</v>
      </c>
    </row>
    <row r="180" spans="4:5">
      <c r="D180" s="11">
        <v>178</v>
      </c>
      <c r="E180" s="11">
        <v>48.678660623625213</v>
      </c>
    </row>
    <row r="181" spans="4:5">
      <c r="D181" s="11">
        <v>179</v>
      </c>
      <c r="E181" s="11">
        <v>40.01386842841567</v>
      </c>
    </row>
    <row r="182" spans="4:5">
      <c r="D182" s="11">
        <v>180</v>
      </c>
      <c r="E182" s="11">
        <v>39.695089835097079</v>
      </c>
    </row>
    <row r="183" spans="4:5">
      <c r="D183" s="11">
        <v>181</v>
      </c>
      <c r="E183" s="11">
        <v>66.425585408315612</v>
      </c>
    </row>
    <row r="184" spans="4:5">
      <c r="D184" s="11">
        <v>182</v>
      </c>
      <c r="E184" s="11">
        <v>41.508802124846476</v>
      </c>
    </row>
    <row r="185" spans="4:5">
      <c r="D185" s="11">
        <v>183</v>
      </c>
      <c r="E185" s="11">
        <v>27.138603941755541</v>
      </c>
    </row>
    <row r="186" spans="4:5">
      <c r="D186" s="11">
        <v>184</v>
      </c>
      <c r="E186" s="11">
        <v>29.588793830913435</v>
      </c>
    </row>
    <row r="187" spans="4:5">
      <c r="D187" s="11">
        <v>185</v>
      </c>
      <c r="E187" s="11">
        <v>42.26350630235622</v>
      </c>
    </row>
    <row r="188" spans="4:5">
      <c r="D188" s="11">
        <v>186</v>
      </c>
      <c r="E188" s="11">
        <v>31.298824001869235</v>
      </c>
    </row>
    <row r="189" spans="4:5">
      <c r="D189" s="11">
        <v>187</v>
      </c>
      <c r="E189" s="11">
        <v>50.245424251985902</v>
      </c>
    </row>
    <row r="190" spans="4:5">
      <c r="D190" s="11">
        <v>188</v>
      </c>
      <c r="E190" s="11">
        <v>53.857332622534912</v>
      </c>
    </row>
    <row r="191" spans="4:5">
      <c r="D191" s="11">
        <v>189</v>
      </c>
      <c r="E191" s="11">
        <v>50.432494150247493</v>
      </c>
    </row>
    <row r="192" spans="4:5">
      <c r="D192" s="11">
        <v>190</v>
      </c>
      <c r="E192" s="11">
        <v>48.848667817111874</v>
      </c>
    </row>
    <row r="193" spans="4:5">
      <c r="D193" s="11">
        <v>191</v>
      </c>
      <c r="E193" s="11">
        <v>45.259760611812844</v>
      </c>
    </row>
    <row r="194" spans="4:5">
      <c r="D194" s="11">
        <v>192</v>
      </c>
      <c r="E194" s="11">
        <v>40.624694275484032</v>
      </c>
    </row>
    <row r="195" spans="4:5">
      <c r="D195" s="11">
        <v>193</v>
      </c>
      <c r="E195" s="11">
        <v>39.813610980723745</v>
      </c>
    </row>
    <row r="196" spans="4:5">
      <c r="D196" s="11">
        <v>194</v>
      </c>
      <c r="E196" s="11">
        <v>46.897696661891736</v>
      </c>
    </row>
    <row r="197" spans="4:5">
      <c r="D197" s="11">
        <v>195</v>
      </c>
      <c r="E197" s="11">
        <v>44.886339347076856</v>
      </c>
    </row>
    <row r="198" spans="4:5">
      <c r="D198" s="11">
        <v>196</v>
      </c>
      <c r="E198" s="11">
        <v>57.765332208736623</v>
      </c>
    </row>
    <row r="199" spans="4:5">
      <c r="D199" s="11">
        <v>197</v>
      </c>
      <c r="E199" s="11">
        <v>49.563372096471205</v>
      </c>
    </row>
    <row r="200" spans="4:5">
      <c r="D200" s="11">
        <v>198</v>
      </c>
      <c r="E200" s="11">
        <v>32.454627006289691</v>
      </c>
    </row>
    <row r="201" spans="4:5">
      <c r="D201" s="11">
        <v>199</v>
      </c>
      <c r="E201" s="11">
        <v>49.742578099488824</v>
      </c>
    </row>
    <row r="202" spans="4:5">
      <c r="D202" s="11">
        <v>200</v>
      </c>
      <c r="E202" s="11">
        <v>53.232641746826275</v>
      </c>
    </row>
    <row r="203" spans="4:5">
      <c r="D203" s="11">
        <v>201</v>
      </c>
      <c r="E203" s="11">
        <v>29.29444839617663</v>
      </c>
    </row>
    <row r="204" spans="4:5">
      <c r="D204" s="11">
        <v>202</v>
      </c>
      <c r="E204" s="11">
        <v>35.741290539880815</v>
      </c>
    </row>
    <row r="205" spans="4:5">
      <c r="D205" s="11">
        <v>203</v>
      </c>
      <c r="E205" s="11">
        <v>46.094974765006057</v>
      </c>
    </row>
    <row r="206" spans="4:5">
      <c r="D206" s="11">
        <v>204</v>
      </c>
      <c r="E206" s="11">
        <v>59.99753332036471</v>
      </c>
    </row>
    <row r="207" spans="4:5">
      <c r="D207" s="11">
        <v>205</v>
      </c>
      <c r="E207" s="11">
        <v>48.224834585208413</v>
      </c>
    </row>
    <row r="208" spans="4:5">
      <c r="D208" s="11">
        <v>206</v>
      </c>
      <c r="E208" s="11">
        <v>39.436680343816718</v>
      </c>
    </row>
    <row r="209" spans="4:5">
      <c r="D209" s="11">
        <v>207</v>
      </c>
      <c r="E209" s="11">
        <v>44.014874693511771</v>
      </c>
    </row>
    <row r="210" spans="4:5">
      <c r="D210" s="11">
        <v>208</v>
      </c>
      <c r="E210" s="11">
        <v>45.003829393990287</v>
      </c>
    </row>
    <row r="211" spans="4:5">
      <c r="D211" s="11">
        <v>209</v>
      </c>
      <c r="E211" s="11">
        <v>46.43909923313629</v>
      </c>
    </row>
    <row r="212" spans="4:5">
      <c r="D212" s="11">
        <v>210</v>
      </c>
      <c r="E212" s="11">
        <v>37.31874965757801</v>
      </c>
    </row>
    <row r="213" spans="4:5">
      <c r="D213" s="11">
        <v>211</v>
      </c>
      <c r="E213" s="11">
        <v>33.163606681457168</v>
      </c>
    </row>
    <row r="214" spans="4:5">
      <c r="D214" s="11">
        <v>212</v>
      </c>
      <c r="E214" s="11">
        <v>41.807630427568277</v>
      </c>
    </row>
    <row r="215" spans="4:5">
      <c r="D215" s="11">
        <v>213</v>
      </c>
      <c r="E215" s="11">
        <v>57.151510540538823</v>
      </c>
    </row>
    <row r="216" spans="4:5">
      <c r="D216" s="11">
        <v>214</v>
      </c>
      <c r="E216" s="11">
        <v>51.368468930889357</v>
      </c>
    </row>
    <row r="217" spans="4:5">
      <c r="D217" s="11">
        <v>215</v>
      </c>
      <c r="E217" s="11">
        <v>35.151648607111746</v>
      </c>
    </row>
    <row r="218" spans="4:5">
      <c r="D218" s="11">
        <v>216</v>
      </c>
      <c r="E218" s="11">
        <v>49.370258006688019</v>
      </c>
    </row>
    <row r="219" spans="4:5">
      <c r="D219" s="11">
        <v>217</v>
      </c>
      <c r="E219" s="11">
        <v>42.846986547363194</v>
      </c>
    </row>
    <row r="220" spans="4:5">
      <c r="D220" s="11">
        <v>218</v>
      </c>
      <c r="E220" s="11">
        <v>47.86327275131589</v>
      </c>
    </row>
    <row r="221" spans="4:5">
      <c r="D221" s="11">
        <v>219</v>
      </c>
      <c r="E221" s="11">
        <v>42.095687822817581</v>
      </c>
    </row>
    <row r="222" spans="4:5">
      <c r="D222" s="11">
        <v>220</v>
      </c>
      <c r="E222" s="11">
        <v>57.252638468202882</v>
      </c>
    </row>
    <row r="223" spans="4:5">
      <c r="D223" s="11">
        <v>221</v>
      </c>
      <c r="E223" s="11">
        <v>53.689834710228723</v>
      </c>
    </row>
    <row r="224" spans="4:5">
      <c r="D224" s="11">
        <v>222</v>
      </c>
      <c r="E224" s="11">
        <v>41.654043707788681</v>
      </c>
    </row>
    <row r="225" spans="4:5">
      <c r="D225" s="11">
        <v>223</v>
      </c>
      <c r="E225" s="11">
        <v>40.751702117026312</v>
      </c>
    </row>
    <row r="226" spans="4:5">
      <c r="D226" s="11">
        <v>224</v>
      </c>
      <c r="E226" s="11">
        <v>36.533815602275695</v>
      </c>
    </row>
    <row r="227" spans="4:5">
      <c r="D227" s="11">
        <v>225</v>
      </c>
      <c r="E227" s="11">
        <v>34.39310168527642</v>
      </c>
    </row>
    <row r="228" spans="4:5">
      <c r="D228" s="11">
        <v>226</v>
      </c>
      <c r="E228" s="11">
        <v>44.696410207560469</v>
      </c>
    </row>
    <row r="229" spans="4:5">
      <c r="D229" s="11">
        <v>227</v>
      </c>
      <c r="E229" s="11">
        <v>34.45614610840537</v>
      </c>
    </row>
    <row r="230" spans="4:5">
      <c r="D230" s="11">
        <v>228</v>
      </c>
      <c r="E230" s="11">
        <v>58.98204101005139</v>
      </c>
    </row>
    <row r="231" spans="4:5">
      <c r="D231" s="11">
        <v>229</v>
      </c>
      <c r="E231" s="11">
        <v>33.543928521909066</v>
      </c>
    </row>
    <row r="232" spans="4:5">
      <c r="D232" s="11">
        <v>230</v>
      </c>
      <c r="E232" s="11">
        <v>44.360884261398084</v>
      </c>
    </row>
    <row r="233" spans="4:5">
      <c r="D233" s="11">
        <v>231</v>
      </c>
      <c r="E233" s="11">
        <v>52.913250471115717</v>
      </c>
    </row>
    <row r="234" spans="4:5">
      <c r="D234" s="11">
        <v>232</v>
      </c>
      <c r="E234" s="11">
        <v>60.886206921318383</v>
      </c>
    </row>
    <row r="235" spans="4:5">
      <c r="D235" s="11">
        <v>233</v>
      </c>
      <c r="E235" s="11">
        <v>47.560293422123806</v>
      </c>
    </row>
    <row r="236" spans="4:5">
      <c r="D236" s="11">
        <v>234</v>
      </c>
      <c r="E236" s="11">
        <v>53.316597605618476</v>
      </c>
    </row>
    <row r="237" spans="4:5">
      <c r="D237" s="11">
        <v>235</v>
      </c>
      <c r="E237" s="11">
        <v>44.505321810615207</v>
      </c>
    </row>
    <row r="238" spans="4:5">
      <c r="D238" s="11">
        <v>236</v>
      </c>
      <c r="E238" s="11">
        <v>57.779118116953398</v>
      </c>
    </row>
    <row r="239" spans="4:5">
      <c r="D239" s="11">
        <v>237</v>
      </c>
      <c r="E239" s="11">
        <v>57.202765737521744</v>
      </c>
    </row>
    <row r="240" spans="4:5">
      <c r="D240" s="11">
        <v>238</v>
      </c>
      <c r="E240" s="11">
        <v>43.979086673402144</v>
      </c>
    </row>
    <row r="241" spans="4:5">
      <c r="D241" s="11">
        <v>239</v>
      </c>
      <c r="E241" s="11">
        <v>53.500175917207493</v>
      </c>
    </row>
    <row r="242" spans="4:5">
      <c r="D242" s="11">
        <v>240</v>
      </c>
      <c r="E242" s="11">
        <v>53.924508428824488</v>
      </c>
    </row>
    <row r="243" spans="4:5">
      <c r="D243" s="11">
        <v>241</v>
      </c>
      <c r="E243" s="11">
        <v>51.708838348780482</v>
      </c>
    </row>
    <row r="244" spans="4:5">
      <c r="D244" s="11">
        <v>242</v>
      </c>
      <c r="E244" s="11">
        <v>41.230801892917768</v>
      </c>
    </row>
    <row r="245" spans="4:5">
      <c r="D245" s="11">
        <v>243</v>
      </c>
      <c r="E245" s="11">
        <v>55.833438154910418</v>
      </c>
    </row>
    <row r="246" spans="4:5">
      <c r="D246" s="11">
        <v>244</v>
      </c>
      <c r="E246" s="11">
        <v>50.076687913403688</v>
      </c>
    </row>
    <row r="247" spans="4:5">
      <c r="D247" s="11">
        <v>245</v>
      </c>
      <c r="E247" s="11">
        <v>56.600335923596276</v>
      </c>
    </row>
    <row r="248" spans="4:5">
      <c r="D248" s="11">
        <v>246</v>
      </c>
      <c r="E248" s="11">
        <v>49.616155455322186</v>
      </c>
    </row>
    <row r="249" spans="4:5">
      <c r="D249" s="11">
        <v>247</v>
      </c>
      <c r="E249" s="11">
        <v>46.433942713444928</v>
      </c>
    </row>
    <row r="250" spans="4:5">
      <c r="D250" s="11">
        <v>248</v>
      </c>
      <c r="E250" s="11">
        <v>42.770043089621701</v>
      </c>
    </row>
    <row r="251" spans="4:5">
      <c r="D251" s="11">
        <v>249</v>
      </c>
      <c r="E251" s="11">
        <v>45.592223356022608</v>
      </c>
    </row>
    <row r="252" spans="4:5">
      <c r="D252" s="11">
        <v>250</v>
      </c>
      <c r="E252" s="11">
        <v>43.935324682571292</v>
      </c>
    </row>
    <row r="253" spans="4:5">
      <c r="D253" s="11">
        <v>251</v>
      </c>
      <c r="E253" s="11">
        <v>42.999367084974338</v>
      </c>
    </row>
    <row r="254" spans="4:5">
      <c r="D254" s="11">
        <v>252</v>
      </c>
      <c r="E254" s="11">
        <v>41.008020163740404</v>
      </c>
    </row>
    <row r="255" spans="4:5">
      <c r="D255" s="11">
        <v>253</v>
      </c>
      <c r="E255" s="11">
        <v>57.356341894449272</v>
      </c>
    </row>
    <row r="256" spans="4:5">
      <c r="D256" s="11">
        <v>254</v>
      </c>
      <c r="E256" s="11">
        <v>43.832025001999916</v>
      </c>
    </row>
    <row r="257" spans="4:5">
      <c r="D257" s="11">
        <v>255</v>
      </c>
      <c r="E257" s="11">
        <v>38.672224979845495</v>
      </c>
    </row>
    <row r="258" spans="4:5">
      <c r="D258" s="11">
        <v>256</v>
      </c>
      <c r="E258" s="11">
        <v>39.771678992949212</v>
      </c>
    </row>
    <row r="259" spans="4:5">
      <c r="D259" s="11">
        <v>257</v>
      </c>
      <c r="E259" s="11">
        <v>46.581323620455208</v>
      </c>
    </row>
    <row r="260" spans="4:5">
      <c r="D260" s="11">
        <v>258</v>
      </c>
      <c r="E260" s="11">
        <v>46.697369479885609</v>
      </c>
    </row>
    <row r="261" spans="4:5">
      <c r="D261" s="11">
        <v>259</v>
      </c>
      <c r="E261" s="11">
        <v>34.788362496587837</v>
      </c>
    </row>
    <row r="262" spans="4:5">
      <c r="D262" s="11">
        <v>260</v>
      </c>
      <c r="E262" s="11">
        <v>41.806841397509437</v>
      </c>
    </row>
    <row r="263" spans="4:5">
      <c r="D263" s="11">
        <v>261</v>
      </c>
      <c r="E263" s="11">
        <v>44.547156759579686</v>
      </c>
    </row>
    <row r="264" spans="4:5">
      <c r="D264" s="11">
        <v>262</v>
      </c>
      <c r="E264" s="11">
        <v>35.032309256213559</v>
      </c>
    </row>
    <row r="265" spans="4:5">
      <c r="D265" s="11">
        <v>263</v>
      </c>
      <c r="E265" s="11">
        <v>58.278883743356047</v>
      </c>
    </row>
    <row r="266" spans="4:5">
      <c r="D266" s="11">
        <v>264</v>
      </c>
      <c r="E266" s="11">
        <v>46.664764538364665</v>
      </c>
    </row>
    <row r="267" spans="4:5">
      <c r="D267" s="11">
        <v>265</v>
      </c>
      <c r="E267" s="11">
        <v>40.409921568078261</v>
      </c>
    </row>
    <row r="268" spans="4:5">
      <c r="D268" s="11">
        <v>266</v>
      </c>
      <c r="E268" s="11">
        <v>27.906416091836093</v>
      </c>
    </row>
    <row r="269" spans="4:5">
      <c r="D269" s="11">
        <v>267</v>
      </c>
      <c r="E269" s="11">
        <v>45.496407941629307</v>
      </c>
    </row>
    <row r="270" spans="4:5">
      <c r="D270" s="11">
        <v>268</v>
      </c>
      <c r="E270" s="11">
        <v>52.547010508059678</v>
      </c>
    </row>
    <row r="271" spans="4:5">
      <c r="D271" s="11">
        <v>269</v>
      </c>
      <c r="E271" s="11">
        <v>44.144930205997575</v>
      </c>
    </row>
    <row r="272" spans="4:5">
      <c r="D272" s="11">
        <v>270</v>
      </c>
      <c r="E272" s="11">
        <v>40.40807102606329</v>
      </c>
    </row>
    <row r="273" spans="4:5">
      <c r="D273" s="11">
        <v>271</v>
      </c>
      <c r="E273" s="11">
        <v>30.204503069034317</v>
      </c>
    </row>
    <row r="274" spans="4:5">
      <c r="D274" s="11">
        <v>272</v>
      </c>
      <c r="E274" s="11">
        <v>35.536300482242552</v>
      </c>
    </row>
    <row r="275" spans="4:5">
      <c r="D275" s="11">
        <v>273</v>
      </c>
      <c r="E275" s="11">
        <v>45.856888377577306</v>
      </c>
    </row>
    <row r="276" spans="4:5">
      <c r="D276" s="11">
        <v>274</v>
      </c>
      <c r="E276" s="11">
        <v>57.804248396050646</v>
      </c>
    </row>
    <row r="277" spans="4:5">
      <c r="D277" s="11">
        <v>275</v>
      </c>
      <c r="E277" s="11">
        <v>37.704075281869798</v>
      </c>
    </row>
    <row r="278" spans="4:5">
      <c r="D278" s="11">
        <v>276</v>
      </c>
      <c r="E278" s="11">
        <v>35.996401591130883</v>
      </c>
    </row>
    <row r="279" spans="4:5">
      <c r="D279" s="11">
        <v>277</v>
      </c>
      <c r="E279" s="11">
        <v>40.675131318572284</v>
      </c>
    </row>
    <row r="280" spans="4:5">
      <c r="D280" s="11">
        <v>278</v>
      </c>
      <c r="E280" s="11">
        <v>38.864483385661991</v>
      </c>
    </row>
    <row r="281" spans="4:5">
      <c r="D281" s="11">
        <v>279</v>
      </c>
      <c r="E281" s="11">
        <v>49.832565790955542</v>
      </c>
    </row>
    <row r="282" spans="4:5">
      <c r="D282" s="11">
        <v>280</v>
      </c>
      <c r="E282" s="11">
        <v>55.589576615299869</v>
      </c>
    </row>
    <row r="283" spans="4:5">
      <c r="D283" s="11">
        <v>281</v>
      </c>
      <c r="E283" s="11">
        <v>47.770560407332212</v>
      </c>
    </row>
    <row r="284" spans="4:5">
      <c r="D284" s="11">
        <v>282</v>
      </c>
      <c r="E284" s="11">
        <v>43.033134115027281</v>
      </c>
    </row>
    <row r="285" spans="4:5">
      <c r="D285" s="11">
        <v>283</v>
      </c>
      <c r="E285" s="11">
        <v>52.402121112252807</v>
      </c>
    </row>
    <row r="286" spans="4:5">
      <c r="D286" s="11">
        <v>284</v>
      </c>
      <c r="E286" s="11">
        <v>43.920673300815366</v>
      </c>
    </row>
    <row r="287" spans="4:5">
      <c r="D287" s="11">
        <v>285</v>
      </c>
      <c r="E287" s="11">
        <v>41.820260089499037</v>
      </c>
    </row>
    <row r="288" spans="4:5">
      <c r="D288" s="11">
        <v>286</v>
      </c>
      <c r="E288" s="11">
        <v>61.21004069511617</v>
      </c>
    </row>
    <row r="289" spans="4:5">
      <c r="D289" s="11">
        <v>287</v>
      </c>
      <c r="E289" s="11">
        <v>49.034397525631704</v>
      </c>
    </row>
    <row r="290" spans="4:5">
      <c r="D290" s="11">
        <v>288</v>
      </c>
      <c r="E290" s="11">
        <v>50.357812223151427</v>
      </c>
    </row>
    <row r="291" spans="4:5">
      <c r="D291" s="11">
        <v>289</v>
      </c>
      <c r="E291" s="11">
        <v>39.689865392666619</v>
      </c>
    </row>
    <row r="292" spans="4:5">
      <c r="D292" s="11">
        <v>290</v>
      </c>
      <c r="E292" s="11">
        <v>48.128761326921946</v>
      </c>
    </row>
    <row r="293" spans="4:5">
      <c r="D293" s="11">
        <v>291</v>
      </c>
      <c r="E293" s="11">
        <v>30.557022325825397</v>
      </c>
    </row>
    <row r="294" spans="4:5">
      <c r="D294" s="11">
        <v>292</v>
      </c>
      <c r="E294" s="11">
        <v>41.862433105708718</v>
      </c>
    </row>
    <row r="295" spans="4:5">
      <c r="D295" s="11">
        <v>293</v>
      </c>
      <c r="E295" s="11">
        <v>44.642299646869013</v>
      </c>
    </row>
    <row r="296" spans="4:5">
      <c r="D296" s="11">
        <v>294</v>
      </c>
      <c r="E296" s="11">
        <v>31.552329276339876</v>
      </c>
    </row>
    <row r="297" spans="4:5">
      <c r="D297" s="11">
        <v>295</v>
      </c>
      <c r="E297" s="11">
        <v>42.893198605849861</v>
      </c>
    </row>
    <row r="298" spans="4:5">
      <c r="D298" s="11">
        <v>296</v>
      </c>
      <c r="E298" s="11">
        <v>30.297539374785451</v>
      </c>
    </row>
    <row r="299" spans="4:5">
      <c r="D299" s="11">
        <v>297</v>
      </c>
      <c r="E299" s="11">
        <v>37.053307931325783</v>
      </c>
    </row>
    <row r="300" spans="4:5">
      <c r="D300" s="11">
        <v>298</v>
      </c>
      <c r="E300" s="11">
        <v>45.420258224962616</v>
      </c>
    </row>
    <row r="301" spans="4:5">
      <c r="D301" s="11">
        <v>299</v>
      </c>
      <c r="E301" s="11">
        <v>41.424732646239647</v>
      </c>
    </row>
    <row r="302" spans="4:5">
      <c r="D302" s="11">
        <v>300</v>
      </c>
      <c r="E302" s="11">
        <v>43.166354382699431</v>
      </c>
    </row>
    <row r="303" spans="4:5">
      <c r="D303" s="11">
        <v>301</v>
      </c>
      <c r="E303" s="11">
        <v>59.612666381378624</v>
      </c>
    </row>
    <row r="304" spans="4:5">
      <c r="D304" s="11">
        <v>302</v>
      </c>
      <c r="E304" s="11">
        <v>45.858926502235683</v>
      </c>
    </row>
    <row r="305" spans="4:5">
      <c r="D305" s="11">
        <v>303</v>
      </c>
      <c r="E305" s="11">
        <v>56.661917273707481</v>
      </c>
    </row>
    <row r="306" spans="4:5">
      <c r="D306" s="11">
        <v>304</v>
      </c>
      <c r="E306" s="11">
        <v>44.71911693156617</v>
      </c>
    </row>
    <row r="307" spans="4:5">
      <c r="D307" s="11">
        <v>305</v>
      </c>
      <c r="E307" s="11">
        <v>51.304833367089664</v>
      </c>
    </row>
    <row r="308" spans="4:5">
      <c r="D308" s="11">
        <v>306</v>
      </c>
      <c r="E308" s="11">
        <v>60.000110559793171</v>
      </c>
    </row>
    <row r="309" spans="4:5">
      <c r="D309" s="11">
        <v>307</v>
      </c>
      <c r="E309" s="11">
        <v>37.956929775490615</v>
      </c>
    </row>
    <row r="310" spans="4:5">
      <c r="D310" s="11">
        <v>308</v>
      </c>
      <c r="E310" s="11">
        <v>46.347768546913663</v>
      </c>
    </row>
    <row r="311" spans="4:5">
      <c r="D311" s="11">
        <v>309</v>
      </c>
      <c r="E311" s="11">
        <v>48.176596176045194</v>
      </c>
    </row>
    <row r="312" spans="4:5">
      <c r="D312" s="11">
        <v>310</v>
      </c>
      <c r="E312" s="11">
        <v>39.469731894114545</v>
      </c>
    </row>
    <row r="313" spans="4:5">
      <c r="D313" s="11">
        <v>311</v>
      </c>
      <c r="E313" s="11">
        <v>47.368598185639165</v>
      </c>
    </row>
    <row r="314" spans="4:5">
      <c r="D314" s="11">
        <v>312</v>
      </c>
      <c r="E314" s="11">
        <v>36.76278700408794</v>
      </c>
    </row>
    <row r="315" spans="4:5">
      <c r="D315" s="11">
        <v>313</v>
      </c>
      <c r="E315" s="11">
        <v>49.91495682660711</v>
      </c>
    </row>
    <row r="316" spans="4:5">
      <c r="D316" s="11">
        <v>314</v>
      </c>
      <c r="E316" s="11">
        <v>38.80394253999232</v>
      </c>
    </row>
    <row r="317" spans="4:5">
      <c r="D317" s="11">
        <v>315</v>
      </c>
      <c r="E317" s="11">
        <v>28.910408962275987</v>
      </c>
    </row>
    <row r="318" spans="4:5">
      <c r="D318" s="11">
        <v>316</v>
      </c>
      <c r="E318" s="11">
        <v>42.381575339244066</v>
      </c>
    </row>
    <row r="319" spans="4:5">
      <c r="D319" s="11">
        <v>317</v>
      </c>
      <c r="E319" s="11">
        <v>52.141927953817166</v>
      </c>
    </row>
    <row r="320" spans="4:5">
      <c r="D320" s="11">
        <v>318</v>
      </c>
      <c r="E320" s="11">
        <v>35.718854489658028</v>
      </c>
    </row>
    <row r="321" spans="4:5">
      <c r="D321" s="11">
        <v>319</v>
      </c>
      <c r="E321" s="11">
        <v>43.946677749558667</v>
      </c>
    </row>
    <row r="322" spans="4:5">
      <c r="D322" s="11">
        <v>320</v>
      </c>
      <c r="E322" s="11">
        <v>56.798489321638115</v>
      </c>
    </row>
    <row r="323" spans="4:5">
      <c r="D323" s="11">
        <v>321</v>
      </c>
      <c r="E323" s="11">
        <v>38.111251195497807</v>
      </c>
    </row>
    <row r="324" spans="4:5">
      <c r="D324" s="11">
        <v>322</v>
      </c>
      <c r="E324" s="11">
        <v>52.695988962669972</v>
      </c>
    </row>
    <row r="325" spans="4:5">
      <c r="D325" s="11">
        <v>323</v>
      </c>
      <c r="E325" s="11">
        <v>66.426911047322747</v>
      </c>
    </row>
    <row r="326" spans="4:5">
      <c r="D326" s="11">
        <v>324</v>
      </c>
      <c r="E326" s="11">
        <v>50.770399829472801</v>
      </c>
    </row>
    <row r="327" spans="4:5">
      <c r="D327" s="11">
        <v>325</v>
      </c>
      <c r="E327" s="11">
        <v>38.494466177610271</v>
      </c>
    </row>
    <row r="328" spans="4:5">
      <c r="D328" s="11">
        <v>326</v>
      </c>
      <c r="E328" s="11">
        <v>60.358433431201483</v>
      </c>
    </row>
    <row r="329" spans="4:5">
      <c r="D329" s="11">
        <v>327</v>
      </c>
      <c r="E329" s="11">
        <v>56.037193242436352</v>
      </c>
    </row>
    <row r="330" spans="4:5">
      <c r="D330" s="11">
        <v>328</v>
      </c>
      <c r="E330" s="11">
        <v>41.664250967263719</v>
      </c>
    </row>
    <row r="331" spans="4:5">
      <c r="D331" s="11">
        <v>329</v>
      </c>
      <c r="E331" s="11">
        <v>47.128988356023768</v>
      </c>
    </row>
    <row r="332" spans="4:5">
      <c r="D332" s="11">
        <v>330</v>
      </c>
      <c r="E332" s="11">
        <v>37.046600727560438</v>
      </c>
    </row>
    <row r="333" spans="4:5">
      <c r="D333" s="11">
        <v>331</v>
      </c>
      <c r="E333" s="11">
        <v>62.341033802702817</v>
      </c>
    </row>
    <row r="334" spans="4:5">
      <c r="D334" s="11">
        <v>332</v>
      </c>
      <c r="E334" s="11">
        <v>35.215496049877352</v>
      </c>
    </row>
    <row r="335" spans="4:5">
      <c r="D335" s="11">
        <v>333</v>
      </c>
      <c r="E335" s="11">
        <v>34.609679583732891</v>
      </c>
    </row>
    <row r="336" spans="4:5">
      <c r="D336" s="11">
        <v>334</v>
      </c>
      <c r="E336" s="11">
        <v>57.667277966539018</v>
      </c>
    </row>
    <row r="337" spans="4:5">
      <c r="D337" s="11">
        <v>335</v>
      </c>
      <c r="E337" s="11">
        <v>65.416656561749619</v>
      </c>
    </row>
    <row r="338" spans="4:5">
      <c r="D338" s="11">
        <v>336</v>
      </c>
      <c r="E338" s="11">
        <v>55.1226976242787</v>
      </c>
    </row>
    <row r="339" spans="4:5">
      <c r="D339" s="11">
        <v>337</v>
      </c>
      <c r="E339" s="11">
        <v>29.268282640145404</v>
      </c>
    </row>
    <row r="340" spans="4:5">
      <c r="D340" s="11">
        <v>338</v>
      </c>
      <c r="E340" s="11">
        <v>39.518743554716231</v>
      </c>
    </row>
    <row r="341" spans="4:5">
      <c r="D341" s="11">
        <v>339</v>
      </c>
      <c r="E341" s="11">
        <v>59.590924331527383</v>
      </c>
    </row>
    <row r="342" spans="4:5">
      <c r="D342" s="11">
        <v>340</v>
      </c>
      <c r="E342" s="11">
        <v>51.286468687249219</v>
      </c>
    </row>
    <row r="343" spans="4:5">
      <c r="D343" s="11">
        <v>341</v>
      </c>
      <c r="E343" s="11">
        <v>58.170567379763817</v>
      </c>
    </row>
    <row r="344" spans="4:5">
      <c r="D344" s="11">
        <v>342</v>
      </c>
      <c r="E344" s="11">
        <v>50.058116942282879</v>
      </c>
    </row>
    <row r="345" spans="4:5">
      <c r="D345" s="11">
        <v>343</v>
      </c>
      <c r="E345" s="11">
        <v>38.925915733757549</v>
      </c>
    </row>
    <row r="346" spans="4:5">
      <c r="D346" s="11">
        <v>344</v>
      </c>
      <c r="E346" s="11">
        <v>43.089143274673916</v>
      </c>
    </row>
    <row r="347" spans="4:5">
      <c r="D347" s="11">
        <v>345</v>
      </c>
      <c r="E347" s="11">
        <v>62.414521216369295</v>
      </c>
    </row>
    <row r="348" spans="4:5">
      <c r="D348" s="11">
        <v>346</v>
      </c>
      <c r="E348" s="11">
        <v>38.114725211858762</v>
      </c>
    </row>
    <row r="349" spans="4:5">
      <c r="D349" s="11">
        <v>347</v>
      </c>
      <c r="E349" s="11">
        <v>41.544180629708748</v>
      </c>
    </row>
    <row r="350" spans="4:5">
      <c r="D350" s="11">
        <v>348</v>
      </c>
      <c r="E350" s="11">
        <v>37.578327565947937</v>
      </c>
    </row>
    <row r="351" spans="4:5">
      <c r="D351" s="11">
        <v>349</v>
      </c>
      <c r="E351" s="11">
        <v>53.996590801952472</v>
      </c>
    </row>
    <row r="352" spans="4:5">
      <c r="D352" s="11">
        <v>350</v>
      </c>
      <c r="E352" s="11">
        <v>33.191400830160887</v>
      </c>
    </row>
    <row r="353" spans="4:5">
      <c r="D353" s="11">
        <v>351</v>
      </c>
      <c r="E353" s="11">
        <v>40.903495629381652</v>
      </c>
    </row>
    <row r="354" spans="4:5">
      <c r="D354" s="11">
        <v>352</v>
      </c>
      <c r="E354" s="11">
        <v>38.691643828612015</v>
      </c>
    </row>
    <row r="355" spans="4:5">
      <c r="D355" s="11">
        <v>353</v>
      </c>
      <c r="E355" s="11">
        <v>42.479025957044492</v>
      </c>
    </row>
    <row r="356" spans="4:5">
      <c r="D356" s="11">
        <v>354</v>
      </c>
      <c r="E356" s="11">
        <v>47.301707137520282</v>
      </c>
    </row>
    <row r="357" spans="4:5">
      <c r="D357" s="11">
        <v>355</v>
      </c>
      <c r="E357" s="11">
        <v>57.934689097403165</v>
      </c>
    </row>
    <row r="358" spans="4:5">
      <c r="D358" s="11">
        <v>356</v>
      </c>
      <c r="E358" s="11">
        <v>52.078144050233917</v>
      </c>
    </row>
    <row r="359" spans="4:5">
      <c r="D359" s="11">
        <v>357</v>
      </c>
      <c r="E359" s="11">
        <v>50.883736450528318</v>
      </c>
    </row>
    <row r="360" spans="4:5">
      <c r="D360" s="11">
        <v>358</v>
      </c>
      <c r="E360" s="11">
        <v>44.954977403408563</v>
      </c>
    </row>
    <row r="361" spans="4:5">
      <c r="D361" s="11">
        <v>359</v>
      </c>
      <c r="E361" s="11">
        <v>40.275341305284655</v>
      </c>
    </row>
    <row r="362" spans="4:5">
      <c r="D362" s="11">
        <v>360</v>
      </c>
      <c r="E362" s="11">
        <v>40.902616775697254</v>
      </c>
    </row>
    <row r="363" spans="4:5">
      <c r="D363" s="11">
        <v>361</v>
      </c>
      <c r="E363" s="11">
        <v>49.296460161973172</v>
      </c>
    </row>
    <row r="364" spans="4:5">
      <c r="D364" s="11">
        <v>362</v>
      </c>
      <c r="E364" s="11">
        <v>27.279110341738267</v>
      </c>
    </row>
    <row r="365" spans="4:5">
      <c r="D365" s="11">
        <v>363</v>
      </c>
      <c r="E365" s="11">
        <v>43.812416528902006</v>
      </c>
    </row>
    <row r="366" spans="4:5">
      <c r="D366" s="11">
        <v>364</v>
      </c>
      <c r="E366" s="11">
        <v>58.427727953103016</v>
      </c>
    </row>
    <row r="367" spans="4:5">
      <c r="D367" s="11">
        <v>365</v>
      </c>
      <c r="E367" s="11">
        <v>37.168706467718422</v>
      </c>
    </row>
    <row r="368" spans="4:5">
      <c r="D368" s="11">
        <v>366</v>
      </c>
      <c r="E368" s="11">
        <v>45.349823848623068</v>
      </c>
    </row>
    <row r="369" spans="4:5">
      <c r="D369" s="11">
        <v>367</v>
      </c>
      <c r="E369" s="11">
        <v>55.50484020839388</v>
      </c>
    </row>
    <row r="370" spans="4:5">
      <c r="D370" s="11">
        <v>368</v>
      </c>
      <c r="E370" s="11">
        <v>39.559015119724876</v>
      </c>
    </row>
    <row r="371" spans="4:5">
      <c r="D371" s="11">
        <v>369</v>
      </c>
      <c r="E371" s="11">
        <v>31.741666718849213</v>
      </c>
    </row>
    <row r="372" spans="4:5">
      <c r="D372" s="11">
        <v>370</v>
      </c>
      <c r="E372" s="11">
        <v>35.275060554971432</v>
      </c>
    </row>
    <row r="373" spans="4:5">
      <c r="D373" s="11">
        <v>371</v>
      </c>
      <c r="E373" s="11">
        <v>43.441603776112743</v>
      </c>
    </row>
    <row r="374" spans="4:5">
      <c r="D374" s="11">
        <v>372</v>
      </c>
      <c r="E374" s="11">
        <v>35.012600511743983</v>
      </c>
    </row>
    <row r="375" spans="4:5">
      <c r="D375" s="11">
        <v>373</v>
      </c>
      <c r="E375" s="11">
        <v>34.591425522453427</v>
      </c>
    </row>
    <row r="376" spans="4:5">
      <c r="D376" s="11">
        <v>374</v>
      </c>
      <c r="E376" s="11">
        <v>48.199870885403165</v>
      </c>
    </row>
    <row r="377" spans="4:5">
      <c r="D377" s="11">
        <v>375</v>
      </c>
      <c r="E377" s="11">
        <v>38.267447804253138</v>
      </c>
    </row>
    <row r="378" spans="4:5">
      <c r="D378" s="11">
        <v>376</v>
      </c>
      <c r="E378" s="11">
        <v>45.42209178202009</v>
      </c>
    </row>
    <row r="379" spans="4:5">
      <c r="D379" s="11">
        <v>377</v>
      </c>
      <c r="E379" s="11">
        <v>50.129337576039475</v>
      </c>
    </row>
    <row r="380" spans="4:5">
      <c r="D380" s="11">
        <v>378</v>
      </c>
      <c r="E380" s="11">
        <v>57.303993440977223</v>
      </c>
    </row>
    <row r="381" spans="4:5">
      <c r="D381" s="11">
        <v>379</v>
      </c>
      <c r="E381" s="11">
        <v>35.293025104026768</v>
      </c>
    </row>
    <row r="382" spans="4:5">
      <c r="D382" s="11">
        <v>380</v>
      </c>
      <c r="E382" s="11">
        <v>66.650686213335277</v>
      </c>
    </row>
    <row r="383" spans="4:5">
      <c r="D383" s="11">
        <v>381</v>
      </c>
      <c r="E383" s="11">
        <v>39.468290060736145</v>
      </c>
    </row>
    <row r="384" spans="4:5">
      <c r="D384" s="11">
        <v>382</v>
      </c>
      <c r="E384" s="11">
        <v>40.132838351267232</v>
      </c>
    </row>
    <row r="385" spans="4:5">
      <c r="D385" s="11">
        <v>383</v>
      </c>
      <c r="E385" s="11">
        <v>60.396405733473216</v>
      </c>
    </row>
    <row r="386" spans="4:5">
      <c r="D386" s="11">
        <v>384</v>
      </c>
      <c r="E386" s="11">
        <v>39.299981070261261</v>
      </c>
    </row>
    <row r="387" spans="4:5">
      <c r="D387" s="11">
        <v>385</v>
      </c>
      <c r="E387" s="11">
        <v>31.168295385562182</v>
      </c>
    </row>
    <row r="388" spans="4:5">
      <c r="D388" s="11">
        <v>386</v>
      </c>
      <c r="E388" s="11">
        <v>41.659207146191328</v>
      </c>
    </row>
    <row r="389" spans="4:5">
      <c r="D389" s="11">
        <v>387</v>
      </c>
      <c r="E389" s="11">
        <v>61.873700476496097</v>
      </c>
    </row>
    <row r="390" spans="4:5">
      <c r="D390" s="11">
        <v>388</v>
      </c>
      <c r="E390" s="11">
        <v>39.629669223578546</v>
      </c>
    </row>
    <row r="391" spans="4:5">
      <c r="D391" s="11">
        <v>389</v>
      </c>
      <c r="E391" s="11">
        <v>44.741121049656357</v>
      </c>
    </row>
    <row r="392" spans="4:5">
      <c r="D392" s="11">
        <v>390</v>
      </c>
      <c r="E392" s="11">
        <v>38.281875110939019</v>
      </c>
    </row>
    <row r="393" spans="4:5">
      <c r="D393" s="11">
        <v>391</v>
      </c>
      <c r="E393" s="11">
        <v>54.505305664861424</v>
      </c>
    </row>
    <row r="394" spans="4:5">
      <c r="D394" s="11">
        <v>392</v>
      </c>
      <c r="E394" s="11">
        <v>49.597341309494752</v>
      </c>
    </row>
    <row r="395" spans="4:5">
      <c r="D395" s="11">
        <v>393</v>
      </c>
      <c r="E395" s="11">
        <v>45.250290674052614</v>
      </c>
    </row>
    <row r="396" spans="4:5">
      <c r="D396" s="11">
        <v>394</v>
      </c>
      <c r="E396" s="11">
        <v>36.406473852348732</v>
      </c>
    </row>
    <row r="397" spans="4:5">
      <c r="D397" s="11">
        <v>395</v>
      </c>
      <c r="E397" s="11">
        <v>51.852190525244382</v>
      </c>
    </row>
    <row r="398" spans="4:5">
      <c r="D398" s="11">
        <v>396</v>
      </c>
      <c r="E398" s="11">
        <v>41.489376598919073</v>
      </c>
    </row>
    <row r="399" spans="4:5">
      <c r="D399" s="11">
        <v>397</v>
      </c>
      <c r="E399" s="11">
        <v>26.818893609968164</v>
      </c>
    </row>
    <row r="400" spans="4:5">
      <c r="D400" s="11">
        <v>398</v>
      </c>
      <c r="E400" s="11">
        <v>40.640667691897718</v>
      </c>
    </row>
    <row r="401" spans="4:5">
      <c r="D401" s="11">
        <v>399</v>
      </c>
      <c r="E401" s="11">
        <v>44.548432062080209</v>
      </c>
    </row>
    <row r="402" spans="4:5">
      <c r="D402" s="11">
        <v>400</v>
      </c>
      <c r="E402" s="11">
        <v>38.599689464081955</v>
      </c>
    </row>
    <row r="403" spans="4:5">
      <c r="D403" s="11">
        <v>401</v>
      </c>
      <c r="E403" s="11">
        <v>33.122672396331097</v>
      </c>
    </row>
    <row r="404" spans="4:5">
      <c r="D404" s="11">
        <v>402</v>
      </c>
      <c r="E404" s="11">
        <v>34.243313215269396</v>
      </c>
    </row>
    <row r="405" spans="4:5">
      <c r="D405" s="11">
        <v>403</v>
      </c>
      <c r="E405" s="11">
        <v>52.97814440342777</v>
      </c>
    </row>
    <row r="406" spans="4:5">
      <c r="D406" s="11">
        <v>404</v>
      </c>
      <c r="E406" s="11">
        <v>34.080093635021541</v>
      </c>
    </row>
    <row r="407" spans="4:5">
      <c r="D407" s="11">
        <v>405</v>
      </c>
      <c r="E407" s="11">
        <v>44.498564652521864</v>
      </c>
    </row>
    <row r="408" spans="4:5">
      <c r="D408" s="11">
        <v>406</v>
      </c>
      <c r="E408" s="11">
        <v>51.703835311693361</v>
      </c>
    </row>
    <row r="409" spans="4:5">
      <c r="D409" s="11">
        <v>407</v>
      </c>
      <c r="E409" s="11">
        <v>33.395522453196961</v>
      </c>
    </row>
    <row r="410" spans="4:5">
      <c r="D410" s="11">
        <v>408</v>
      </c>
      <c r="E410" s="11">
        <v>36.801198664672519</v>
      </c>
    </row>
    <row r="411" spans="4:5">
      <c r="D411" s="11">
        <v>409</v>
      </c>
      <c r="E411" s="11">
        <v>42.453513204654108</v>
      </c>
    </row>
    <row r="412" spans="4:5">
      <c r="D412" s="11">
        <v>410</v>
      </c>
      <c r="E412" s="11">
        <v>55.429063503114683</v>
      </c>
    </row>
    <row r="413" spans="4:5">
      <c r="D413" s="11">
        <v>411</v>
      </c>
      <c r="E413" s="11">
        <v>38.660095250358751</v>
      </c>
    </row>
    <row r="414" spans="4:5">
      <c r="D414" s="11">
        <v>412</v>
      </c>
      <c r="E414" s="11">
        <v>38.067959026875101</v>
      </c>
    </row>
    <row r="415" spans="4:5">
      <c r="D415" s="11">
        <v>413</v>
      </c>
      <c r="E415" s="11">
        <v>54.908079568668967</v>
      </c>
    </row>
    <row r="416" spans="4:5">
      <c r="D416" s="11">
        <v>414</v>
      </c>
      <c r="E416" s="11">
        <v>34.829174132883843</v>
      </c>
    </row>
    <row r="417" spans="4:5">
      <c r="D417" s="11">
        <v>415</v>
      </c>
      <c r="E417" s="11">
        <v>40.88519708460467</v>
      </c>
    </row>
    <row r="418" spans="4:5">
      <c r="D418" s="11">
        <v>416</v>
      </c>
      <c r="E418" s="11">
        <v>34.818919093013754</v>
      </c>
    </row>
    <row r="419" spans="4:5">
      <c r="D419" s="11">
        <v>417</v>
      </c>
      <c r="E419" s="11">
        <v>67.299531698151242</v>
      </c>
    </row>
    <row r="420" spans="4:5">
      <c r="D420" s="11">
        <v>418</v>
      </c>
      <c r="E420" s="11">
        <v>40.279223683740433</v>
      </c>
    </row>
    <row r="421" spans="4:5">
      <c r="D421" s="11">
        <v>419</v>
      </c>
      <c r="E421" s="11">
        <v>36.505754820461483</v>
      </c>
    </row>
    <row r="422" spans="4:5">
      <c r="D422" s="11">
        <v>420</v>
      </c>
      <c r="E422" s="11">
        <v>44.84792089877579</v>
      </c>
    </row>
    <row r="423" spans="4:5">
      <c r="D423" s="11">
        <v>421</v>
      </c>
      <c r="E423" s="11">
        <v>27.926648820622848</v>
      </c>
    </row>
    <row r="424" spans="4:5">
      <c r="D424" s="11">
        <v>422</v>
      </c>
      <c r="E424" s="11">
        <v>40.743555777436839</v>
      </c>
    </row>
    <row r="425" spans="4:5">
      <c r="D425" s="11">
        <v>423</v>
      </c>
      <c r="E425" s="11">
        <v>60.751578217491534</v>
      </c>
    </row>
    <row r="426" spans="4:5">
      <c r="D426" s="11">
        <v>424</v>
      </c>
      <c r="E426" s="11">
        <v>44.680920192923509</v>
      </c>
    </row>
    <row r="427" spans="4:5">
      <c r="D427" s="11">
        <v>425</v>
      </c>
      <c r="E427" s="11">
        <v>39.271840801662059</v>
      </c>
    </row>
    <row r="428" spans="4:5">
      <c r="D428" s="11">
        <v>426</v>
      </c>
      <c r="E428" s="11">
        <v>46.646605445298171</v>
      </c>
    </row>
    <row r="429" spans="4:5">
      <c r="D429" s="11">
        <v>427</v>
      </c>
      <c r="E429" s="11">
        <v>46.31081873205536</v>
      </c>
    </row>
    <row r="430" spans="4:5">
      <c r="D430" s="11">
        <v>428</v>
      </c>
      <c r="E430" s="11">
        <v>45.862905681348373</v>
      </c>
    </row>
    <row r="431" spans="4:5">
      <c r="D431" s="11">
        <v>429</v>
      </c>
      <c r="E431" s="11">
        <v>40.743316889860488</v>
      </c>
    </row>
    <row r="432" spans="4:5">
      <c r="D432" s="11">
        <v>430</v>
      </c>
      <c r="E432" s="11">
        <v>40.135608912270001</v>
      </c>
    </row>
    <row r="433" spans="4:5">
      <c r="D433" s="11">
        <v>431</v>
      </c>
      <c r="E433" s="11">
        <v>46.587136240361602</v>
      </c>
    </row>
    <row r="434" spans="4:5">
      <c r="D434" s="11">
        <v>432</v>
      </c>
      <c r="E434" s="11">
        <v>34.357264472014151</v>
      </c>
    </row>
    <row r="435" spans="4:5">
      <c r="D435" s="11">
        <v>433</v>
      </c>
      <c r="E435" s="11">
        <v>42.116276343271515</v>
      </c>
    </row>
    <row r="436" spans="4:5">
      <c r="D436" s="11">
        <v>434</v>
      </c>
      <c r="E436" s="11">
        <v>48.36730149903579</v>
      </c>
    </row>
    <row r="437" spans="4:5">
      <c r="D437" s="11">
        <v>435</v>
      </c>
      <c r="E437" s="11">
        <v>56.463731793601212</v>
      </c>
    </row>
    <row r="438" spans="4:5">
      <c r="D438" s="11">
        <v>436</v>
      </c>
      <c r="E438" s="11">
        <v>47.09295455440828</v>
      </c>
    </row>
    <row r="439" spans="4:5">
      <c r="D439" s="11">
        <v>437</v>
      </c>
      <c r="E439" s="11">
        <v>42.429709851047001</v>
      </c>
    </row>
    <row r="440" spans="4:5">
      <c r="D440" s="11">
        <v>438</v>
      </c>
      <c r="E440" s="11">
        <v>59.02482627402631</v>
      </c>
    </row>
    <row r="441" spans="4:5">
      <c r="D441" s="11">
        <v>439</v>
      </c>
      <c r="E441" s="11">
        <v>33.143356810182013</v>
      </c>
    </row>
    <row r="442" spans="4:5">
      <c r="D442" s="11">
        <v>440</v>
      </c>
      <c r="E442" s="11">
        <v>59.687170016221607</v>
      </c>
    </row>
    <row r="443" spans="4:5">
      <c r="D443" s="11">
        <v>441</v>
      </c>
      <c r="E443" s="11">
        <v>51.295896666623861</v>
      </c>
    </row>
    <row r="444" spans="4:5">
      <c r="D444" s="11">
        <v>442</v>
      </c>
      <c r="E444" s="11">
        <v>51.272742848345231</v>
      </c>
    </row>
    <row r="445" spans="4:5">
      <c r="D445" s="11">
        <v>443</v>
      </c>
      <c r="E445" s="11">
        <v>44.014183139925336</v>
      </c>
    </row>
    <row r="446" spans="4:5">
      <c r="D446" s="11">
        <v>444</v>
      </c>
      <c r="E446" s="11">
        <v>48.434209717160073</v>
      </c>
    </row>
    <row r="447" spans="4:5">
      <c r="D447" s="11">
        <v>445</v>
      </c>
      <c r="E447" s="11">
        <v>50.720286323520511</v>
      </c>
    </row>
    <row r="448" spans="4:5">
      <c r="D448" s="11">
        <v>446</v>
      </c>
      <c r="E448" s="11">
        <v>43.428561199136119</v>
      </c>
    </row>
    <row r="449" spans="4:5">
      <c r="D449" s="11">
        <v>447</v>
      </c>
      <c r="E449" s="11">
        <v>39.638647685298174</v>
      </c>
    </row>
    <row r="450" spans="4:5">
      <c r="D450" s="11">
        <v>448</v>
      </c>
      <c r="E450" s="11">
        <v>43.064349375813684</v>
      </c>
    </row>
    <row r="451" spans="4:5">
      <c r="D451" s="11">
        <v>449</v>
      </c>
      <c r="E451" s="11">
        <v>52.949641924765054</v>
      </c>
    </row>
    <row r="452" spans="4:5">
      <c r="D452" s="11">
        <v>450</v>
      </c>
      <c r="E452" s="11">
        <v>48.952317713790983</v>
      </c>
    </row>
    <row r="453" spans="4:5">
      <c r="D453" s="11">
        <v>451</v>
      </c>
      <c r="E453" s="11">
        <v>34.503695871118964</v>
      </c>
    </row>
    <row r="454" spans="4:5">
      <c r="D454" s="11">
        <v>452</v>
      </c>
      <c r="E454" s="11">
        <v>47.867328482145808</v>
      </c>
    </row>
    <row r="455" spans="4:5">
      <c r="D455" s="11">
        <v>453</v>
      </c>
      <c r="E455" s="11">
        <v>47.18444565058595</v>
      </c>
    </row>
    <row r="456" spans="4:5">
      <c r="D456" s="11">
        <v>454</v>
      </c>
      <c r="E456" s="11">
        <v>38.73846800237618</v>
      </c>
    </row>
    <row r="457" spans="4:5">
      <c r="D457" s="11">
        <v>455</v>
      </c>
      <c r="E457" s="11">
        <v>42.586205849444866</v>
      </c>
    </row>
    <row r="458" spans="4:5">
      <c r="D458" s="11">
        <v>456</v>
      </c>
      <c r="E458" s="11">
        <v>39.496044289393204</v>
      </c>
    </row>
    <row r="459" spans="4:5">
      <c r="D459" s="11">
        <v>457</v>
      </c>
      <c r="E459" s="11">
        <v>54.941716968864114</v>
      </c>
    </row>
    <row r="460" spans="4:5">
      <c r="D460" s="11">
        <v>458</v>
      </c>
      <c r="E460" s="11">
        <v>60.975514582516354</v>
      </c>
    </row>
    <row r="461" spans="4:5">
      <c r="D461" s="11">
        <v>459</v>
      </c>
      <c r="E461" s="11">
        <v>27.77668375840938</v>
      </c>
    </row>
    <row r="462" spans="4:5">
      <c r="D462" s="11">
        <v>460</v>
      </c>
      <c r="E462" s="11">
        <v>34.815369975363204</v>
      </c>
    </row>
    <row r="463" spans="4:5">
      <c r="D463" s="11">
        <v>461</v>
      </c>
      <c r="E463" s="11">
        <v>56.191346448293579</v>
      </c>
    </row>
    <row r="464" spans="4:5">
      <c r="D464" s="11">
        <v>462</v>
      </c>
      <c r="E464" s="11">
        <v>61.465652604176377</v>
      </c>
    </row>
    <row r="465" spans="4:5">
      <c r="D465" s="11">
        <v>463</v>
      </c>
      <c r="E465" s="11">
        <v>33.508813652236796</v>
      </c>
    </row>
    <row r="466" spans="4:5">
      <c r="D466" s="11">
        <v>464</v>
      </c>
      <c r="E466" s="11">
        <v>34.771543966386702</v>
      </c>
    </row>
    <row r="467" spans="4:5">
      <c r="D467" s="11">
        <v>465</v>
      </c>
      <c r="E467" s="11">
        <v>36.20322920929442</v>
      </c>
    </row>
    <row r="468" spans="4:5">
      <c r="D468" s="11">
        <v>466</v>
      </c>
      <c r="E468" s="11">
        <v>36.103676933038749</v>
      </c>
    </row>
    <row r="469" spans="4:5">
      <c r="D469" s="11">
        <v>467</v>
      </c>
      <c r="E469" s="11">
        <v>39.611803862165736</v>
      </c>
    </row>
    <row r="470" spans="4:5">
      <c r="D470" s="11">
        <v>468</v>
      </c>
      <c r="E470" s="11">
        <v>40.360661696854834</v>
      </c>
    </row>
    <row r="471" spans="4:5">
      <c r="D471" s="11">
        <v>469</v>
      </c>
      <c r="E471" s="11">
        <v>43.272284563512486</v>
      </c>
    </row>
    <row r="472" spans="4:5">
      <c r="D472" s="11">
        <v>470</v>
      </c>
      <c r="E472" s="11">
        <v>31.337814969862293</v>
      </c>
    </row>
    <row r="473" spans="4:5">
      <c r="D473" s="11">
        <v>471</v>
      </c>
      <c r="E473" s="11">
        <v>35.813622615724974</v>
      </c>
    </row>
    <row r="474" spans="4:5">
      <c r="D474" s="11">
        <v>472</v>
      </c>
      <c r="E474" s="11">
        <v>41.400686005600612</v>
      </c>
    </row>
    <row r="475" spans="4:5">
      <c r="D475" s="11">
        <v>473</v>
      </c>
      <c r="E475" s="11">
        <v>39.283516947199892</v>
      </c>
    </row>
    <row r="476" spans="4:5">
      <c r="D476" s="11">
        <v>474</v>
      </c>
      <c r="E476" s="11">
        <v>54.911092200140835</v>
      </c>
    </row>
    <row r="477" spans="4:5">
      <c r="D477" s="11">
        <v>475</v>
      </c>
      <c r="E477" s="11">
        <v>50.49308458625579</v>
      </c>
    </row>
    <row r="478" spans="4:5">
      <c r="D478" s="11">
        <v>476</v>
      </c>
      <c r="E478" s="11">
        <v>48.450288196493233</v>
      </c>
    </row>
    <row r="479" spans="4:5">
      <c r="D479" s="11">
        <v>477</v>
      </c>
      <c r="E479" s="11">
        <v>47.35285799527071</v>
      </c>
    </row>
    <row r="480" spans="4:5">
      <c r="D480" s="11">
        <v>478</v>
      </c>
      <c r="E480" s="11">
        <v>64.850779885116324</v>
      </c>
    </row>
    <row r="481" spans="4:5">
      <c r="D481" s="11">
        <v>479</v>
      </c>
      <c r="E481" s="11">
        <v>61.218565657614008</v>
      </c>
    </row>
    <row r="482" spans="4:5">
      <c r="D482" s="11">
        <v>480</v>
      </c>
      <c r="E482" s="11">
        <v>34.437971936463555</v>
      </c>
    </row>
    <row r="483" spans="4:5">
      <c r="D483" s="11">
        <v>481</v>
      </c>
      <c r="E483" s="11">
        <v>48.601871295210614</v>
      </c>
    </row>
    <row r="484" spans="4:5">
      <c r="D484" s="11">
        <v>482</v>
      </c>
      <c r="E484" s="11">
        <v>46.380455529713814</v>
      </c>
    </row>
    <row r="485" spans="4:5">
      <c r="D485" s="11">
        <v>483</v>
      </c>
      <c r="E485" s="11">
        <v>36.463997919774457</v>
      </c>
    </row>
    <row r="486" spans="4:5">
      <c r="D486" s="11">
        <v>484</v>
      </c>
      <c r="E486" s="11">
        <v>62.879146546016784</v>
      </c>
    </row>
    <row r="487" spans="4:5">
      <c r="D487" s="11">
        <v>485</v>
      </c>
      <c r="E487" s="11">
        <v>50.015159453674038</v>
      </c>
    </row>
    <row r="488" spans="4:5">
      <c r="D488" s="11">
        <v>486</v>
      </c>
      <c r="E488" s="11">
        <v>33.017798809140501</v>
      </c>
    </row>
    <row r="489" spans="4:5">
      <c r="D489" s="11">
        <v>487</v>
      </c>
      <c r="E489" s="11">
        <v>33.101646780814768</v>
      </c>
    </row>
    <row r="490" spans="4:5">
      <c r="D490" s="11">
        <v>488</v>
      </c>
      <c r="E490" s="11">
        <v>30.985689126612019</v>
      </c>
    </row>
    <row r="491" spans="4:5">
      <c r="D491" s="11">
        <v>489</v>
      </c>
      <c r="E491" s="11">
        <v>43.999791964994245</v>
      </c>
    </row>
    <row r="492" spans="4:5">
      <c r="D492" s="11">
        <v>490</v>
      </c>
      <c r="E492" s="11">
        <v>29.370749458492028</v>
      </c>
    </row>
    <row r="493" spans="4:5">
      <c r="D493" s="11">
        <v>491</v>
      </c>
      <c r="E493" s="11">
        <v>57.169672900572756</v>
      </c>
    </row>
    <row r="494" spans="4:5">
      <c r="D494" s="11">
        <v>492</v>
      </c>
      <c r="E494" s="11">
        <v>41.65253889523192</v>
      </c>
    </row>
    <row r="495" spans="4:5">
      <c r="D495" s="11">
        <v>493</v>
      </c>
      <c r="E495" s="11">
        <v>47.874294510862391</v>
      </c>
    </row>
    <row r="496" spans="4:5">
      <c r="D496" s="11">
        <v>494</v>
      </c>
      <c r="E496" s="11">
        <v>55.464123145261432</v>
      </c>
    </row>
    <row r="497" spans="4:5">
      <c r="D497" s="11">
        <v>495</v>
      </c>
      <c r="E497" s="11">
        <v>43.420091871978499</v>
      </c>
    </row>
    <row r="498" spans="4:5">
      <c r="D498" s="11">
        <v>496</v>
      </c>
      <c r="E498" s="11">
        <v>31.069397728050813</v>
      </c>
    </row>
    <row r="499" spans="4:5">
      <c r="D499" s="11">
        <v>497</v>
      </c>
      <c r="E499" s="11">
        <v>35.818225399619408</v>
      </c>
    </row>
    <row r="500" spans="4:5">
      <c r="D500" s="11">
        <v>498</v>
      </c>
      <c r="E500" s="11">
        <v>46.368606110963839</v>
      </c>
    </row>
    <row r="501" spans="4:5">
      <c r="D501" s="11">
        <v>499</v>
      </c>
      <c r="E501" s="11">
        <v>48.870414851260378</v>
      </c>
    </row>
    <row r="502" spans="4:5">
      <c r="D502" s="11">
        <v>500</v>
      </c>
      <c r="E502" s="11">
        <v>44.979834259227871</v>
      </c>
    </row>
    <row r="503" spans="4:5">
      <c r="D503" s="11">
        <v>501</v>
      </c>
      <c r="E503" s="11">
        <v>31.104578667092799</v>
      </c>
    </row>
    <row r="504" spans="4:5">
      <c r="D504" s="11">
        <v>502</v>
      </c>
      <c r="E504" s="11">
        <v>37.30231954447261</v>
      </c>
    </row>
    <row r="505" spans="4:5">
      <c r="D505" s="11">
        <v>503</v>
      </c>
      <c r="E505" s="11">
        <v>52.516364061864749</v>
      </c>
    </row>
    <row r="506" spans="4:5">
      <c r="D506" s="11">
        <v>504</v>
      </c>
      <c r="E506" s="11">
        <v>33.965582525626274</v>
      </c>
    </row>
    <row r="507" spans="4:5">
      <c r="D507" s="11">
        <v>505</v>
      </c>
      <c r="E507" s="11">
        <v>45.389313257508874</v>
      </c>
    </row>
    <row r="508" spans="4:5">
      <c r="D508" s="11">
        <v>506</v>
      </c>
      <c r="E508" s="11">
        <v>54.657437677246982</v>
      </c>
    </row>
    <row r="509" spans="4:5">
      <c r="D509" s="11">
        <v>507</v>
      </c>
      <c r="E509" s="11">
        <v>29.419851691541016</v>
      </c>
    </row>
    <row r="510" spans="4:5">
      <c r="D510" s="11">
        <v>508</v>
      </c>
      <c r="E510" s="11">
        <v>55.576031579343898</v>
      </c>
    </row>
    <row r="511" spans="4:5">
      <c r="D511" s="11">
        <v>509</v>
      </c>
      <c r="E511" s="11">
        <v>34.252185106867159</v>
      </c>
    </row>
    <row r="512" spans="4:5">
      <c r="D512" s="11">
        <v>510</v>
      </c>
      <c r="E512" s="11">
        <v>58.271550649635266</v>
      </c>
    </row>
    <row r="513" spans="4:5">
      <c r="D513" s="11">
        <v>511</v>
      </c>
      <c r="E513" s="11">
        <v>43.16136555203839</v>
      </c>
    </row>
    <row r="514" spans="4:5">
      <c r="D514" s="11">
        <v>512</v>
      </c>
      <c r="E514" s="11">
        <v>50.362943326535422</v>
      </c>
    </row>
    <row r="515" spans="4:5">
      <c r="D515" s="11">
        <v>513</v>
      </c>
      <c r="E515" s="11">
        <v>62.780620478550198</v>
      </c>
    </row>
    <row r="516" spans="4:5">
      <c r="D516" s="11">
        <v>514</v>
      </c>
      <c r="E516" s="11">
        <v>29.383639326000246</v>
      </c>
    </row>
    <row r="517" spans="4:5">
      <c r="D517" s="11">
        <v>515</v>
      </c>
      <c r="E517" s="11">
        <v>49.794744496800604</v>
      </c>
    </row>
    <row r="518" spans="4:5">
      <c r="D518" s="11">
        <v>516</v>
      </c>
      <c r="E518" s="11">
        <v>53.654028138461555</v>
      </c>
    </row>
    <row r="519" spans="4:5">
      <c r="D519" s="11">
        <v>517</v>
      </c>
      <c r="E519" s="11">
        <v>33.084147948513575</v>
      </c>
    </row>
    <row r="520" spans="4:5">
      <c r="D520" s="11">
        <v>518</v>
      </c>
      <c r="E520" s="11">
        <v>59.727446265733782</v>
      </c>
    </row>
    <row r="521" spans="4:5">
      <c r="D521" s="11">
        <v>519</v>
      </c>
      <c r="E521" s="11">
        <v>40.532348093257106</v>
      </c>
    </row>
    <row r="522" spans="4:5">
      <c r="D522" s="11">
        <v>520</v>
      </c>
      <c r="E522" s="11">
        <v>45.320337450577014</v>
      </c>
    </row>
    <row r="523" spans="4:5">
      <c r="D523" s="11">
        <v>521</v>
      </c>
      <c r="E523" s="11">
        <v>46.453220627934158</v>
      </c>
    </row>
    <row r="524" spans="4:5">
      <c r="D524" s="11">
        <v>522</v>
      </c>
      <c r="E524" s="11">
        <v>38.497818545842897</v>
      </c>
    </row>
    <row r="525" spans="4:5">
      <c r="D525" s="11">
        <v>523</v>
      </c>
      <c r="E525" s="11">
        <v>53.879449555717045</v>
      </c>
    </row>
    <row r="526" spans="4:5">
      <c r="D526" s="11">
        <v>524</v>
      </c>
      <c r="E526" s="11">
        <v>45.401519929819301</v>
      </c>
    </row>
    <row r="527" spans="4:5">
      <c r="D527" s="11">
        <v>525</v>
      </c>
      <c r="E527" s="11">
        <v>44.105791731479769</v>
      </c>
    </row>
    <row r="528" spans="4:5">
      <c r="D528" s="11">
        <v>526</v>
      </c>
      <c r="E528" s="11">
        <v>42.949900698461839</v>
      </c>
    </row>
    <row r="529" spans="4:5">
      <c r="D529" s="11">
        <v>527</v>
      </c>
      <c r="E529" s="11">
        <v>35.229689944537419</v>
      </c>
    </row>
    <row r="530" spans="4:5">
      <c r="D530" s="11">
        <v>528</v>
      </c>
      <c r="E530" s="11">
        <v>39.274005164205988</v>
      </c>
    </row>
    <row r="531" spans="4:5">
      <c r="D531" s="11">
        <v>529</v>
      </c>
      <c r="E531" s="11">
        <v>49.119699158931979</v>
      </c>
    </row>
    <row r="532" spans="4:5">
      <c r="D532" s="11">
        <v>530</v>
      </c>
      <c r="E532" s="11">
        <v>33.624667654818872</v>
      </c>
    </row>
    <row r="533" spans="4:5">
      <c r="D533" s="11">
        <v>531</v>
      </c>
      <c r="E533" s="11">
        <v>47.235841230571666</v>
      </c>
    </row>
    <row r="534" spans="4:5">
      <c r="D534" s="11">
        <v>532</v>
      </c>
      <c r="E534" s="11">
        <v>45.400106022243655</v>
      </c>
    </row>
    <row r="535" spans="4:5">
      <c r="D535" s="11">
        <v>533</v>
      </c>
      <c r="E535" s="11">
        <v>64.252356616493572</v>
      </c>
    </row>
    <row r="536" spans="4:5">
      <c r="D536" s="11">
        <v>534</v>
      </c>
      <c r="E536" s="11">
        <v>40.237616688868485</v>
      </c>
    </row>
    <row r="537" spans="4:5">
      <c r="D537" s="11">
        <v>535</v>
      </c>
      <c r="E537" s="11">
        <v>34.101089670730836</v>
      </c>
    </row>
    <row r="538" spans="4:5">
      <c r="D538" s="11">
        <v>536</v>
      </c>
      <c r="E538" s="11">
        <v>50.737687224402777</v>
      </c>
    </row>
    <row r="539" spans="4:5">
      <c r="D539" s="11">
        <v>537</v>
      </c>
      <c r="E539" s="11">
        <v>43.645687910214647</v>
      </c>
    </row>
    <row r="540" spans="4:5">
      <c r="D540" s="11">
        <v>538</v>
      </c>
      <c r="E540" s="11">
        <v>48.878999167020524</v>
      </c>
    </row>
    <row r="541" spans="4:5">
      <c r="D541" s="11">
        <v>539</v>
      </c>
      <c r="E541" s="11">
        <v>48.545826767338234</v>
      </c>
    </row>
    <row r="542" spans="4:5">
      <c r="D542" s="11">
        <v>540</v>
      </c>
      <c r="E542" s="11">
        <v>37.804111770101422</v>
      </c>
    </row>
    <row r="543" spans="4:5">
      <c r="D543" s="11">
        <v>541</v>
      </c>
      <c r="E543" s="11">
        <v>32.279931558976124</v>
      </c>
    </row>
    <row r="544" spans="4:5">
      <c r="D544" s="11">
        <v>542</v>
      </c>
      <c r="E544" s="11">
        <v>51.13421336067514</v>
      </c>
    </row>
    <row r="545" spans="4:5">
      <c r="D545" s="11">
        <v>543</v>
      </c>
      <c r="E545" s="11">
        <v>59.191544362047161</v>
      </c>
    </row>
    <row r="546" spans="4:5">
      <c r="D546" s="11">
        <v>544</v>
      </c>
      <c r="E546" s="11">
        <v>50.194465929064272</v>
      </c>
    </row>
    <row r="547" spans="4:5">
      <c r="D547" s="11">
        <v>545</v>
      </c>
      <c r="E547" s="11">
        <v>44.103605879786272</v>
      </c>
    </row>
    <row r="548" spans="4:5">
      <c r="D548" s="11">
        <v>546</v>
      </c>
      <c r="E548" s="11">
        <v>52.12383789250724</v>
      </c>
    </row>
    <row r="549" spans="4:5">
      <c r="D549" s="11">
        <v>547</v>
      </c>
      <c r="E549" s="11">
        <v>42.133587981709638</v>
      </c>
    </row>
    <row r="550" spans="4:5">
      <c r="D550" s="11">
        <v>548</v>
      </c>
      <c r="E550" s="11">
        <v>52.486390210812495</v>
      </c>
    </row>
    <row r="551" spans="4:5">
      <c r="D551" s="11">
        <v>549</v>
      </c>
      <c r="E551" s="11">
        <v>44.17607058552931</v>
      </c>
    </row>
    <row r="552" spans="4:5">
      <c r="D552" s="11">
        <v>550</v>
      </c>
      <c r="E552" s="11">
        <v>54.368699880791475</v>
      </c>
    </row>
    <row r="553" spans="4:5">
      <c r="D553" s="11">
        <v>551</v>
      </c>
      <c r="E553" s="11">
        <v>48.357995853148708</v>
      </c>
    </row>
    <row r="554" spans="4:5">
      <c r="D554" s="11">
        <v>552</v>
      </c>
      <c r="E554" s="11">
        <v>65.948088584140578</v>
      </c>
    </row>
    <row r="555" spans="4:5">
      <c r="D555" s="11">
        <v>553</v>
      </c>
      <c r="E555" s="11">
        <v>62.417129332293499</v>
      </c>
    </row>
    <row r="556" spans="4:5">
      <c r="D556" s="11">
        <v>554</v>
      </c>
      <c r="E556" s="11">
        <v>39.391370586661758</v>
      </c>
    </row>
    <row r="557" spans="4:5">
      <c r="D557" s="11">
        <v>555</v>
      </c>
      <c r="E557" s="11">
        <v>51.783775568730746</v>
      </c>
    </row>
    <row r="558" spans="4:5">
      <c r="D558" s="11">
        <v>556</v>
      </c>
      <c r="E558" s="11">
        <v>26.947820905275872</v>
      </c>
    </row>
    <row r="559" spans="4:5">
      <c r="D559" s="11">
        <v>557</v>
      </c>
      <c r="E559" s="11">
        <v>48.443503592749927</v>
      </c>
    </row>
    <row r="560" spans="4:5">
      <c r="D560" s="11">
        <v>558</v>
      </c>
      <c r="E560" s="11">
        <v>32.871245118861694</v>
      </c>
    </row>
    <row r="561" spans="4:5">
      <c r="D561" s="11">
        <v>559</v>
      </c>
      <c r="E561" s="11">
        <v>36.392063762968306</v>
      </c>
    </row>
    <row r="562" spans="4:5">
      <c r="D562" s="11">
        <v>560</v>
      </c>
      <c r="E562" s="11">
        <v>29.29313009155516</v>
      </c>
    </row>
    <row r="563" spans="4:5">
      <c r="D563" s="11">
        <v>561</v>
      </c>
      <c r="E563" s="11">
        <v>50.889708400674671</v>
      </c>
    </row>
    <row r="564" spans="4:5">
      <c r="D564" s="11">
        <v>562</v>
      </c>
      <c r="E564" s="11">
        <v>25.592704540465547</v>
      </c>
    </row>
    <row r="565" spans="4:5">
      <c r="D565" s="11">
        <v>563</v>
      </c>
      <c r="E565" s="11">
        <v>43.486687082193953</v>
      </c>
    </row>
    <row r="566" spans="4:5">
      <c r="D566" s="11">
        <v>564</v>
      </c>
      <c r="E566" s="11">
        <v>59.68769237740748</v>
      </c>
    </row>
    <row r="567" spans="4:5">
      <c r="D567" s="11">
        <v>565</v>
      </c>
      <c r="E567" s="11">
        <v>45.295113654827539</v>
      </c>
    </row>
    <row r="568" spans="4:5">
      <c r="D568" s="11">
        <v>566</v>
      </c>
      <c r="E568" s="11">
        <v>43.097184928394924</v>
      </c>
    </row>
    <row r="569" spans="4:5">
      <c r="D569" s="11">
        <v>567</v>
      </c>
      <c r="E569" s="11">
        <v>38.174007469533606</v>
      </c>
    </row>
    <row r="570" spans="4:5">
      <c r="D570" s="11">
        <v>568</v>
      </c>
      <c r="E570" s="11">
        <v>49.247604080082731</v>
      </c>
    </row>
    <row r="571" spans="4:5">
      <c r="D571" s="11">
        <v>569</v>
      </c>
      <c r="E571" s="11">
        <v>35.235101299841986</v>
      </c>
    </row>
    <row r="572" spans="4:5">
      <c r="D572" s="11">
        <v>570</v>
      </c>
      <c r="E572" s="11">
        <v>44.93548027746121</v>
      </c>
    </row>
    <row r="573" spans="4:5">
      <c r="D573" s="11">
        <v>571</v>
      </c>
      <c r="E573" s="11">
        <v>30.990441241627625</v>
      </c>
    </row>
    <row r="574" spans="4:5">
      <c r="D574" s="11">
        <v>572</v>
      </c>
      <c r="E574" s="11">
        <v>36.722596777049851</v>
      </c>
    </row>
    <row r="575" spans="4:5">
      <c r="D575" s="11">
        <v>573</v>
      </c>
      <c r="E575" s="11">
        <v>57.075647251905735</v>
      </c>
    </row>
    <row r="576" spans="4:5">
      <c r="D576" s="11">
        <v>574</v>
      </c>
      <c r="E576" s="11">
        <v>52.728398621508539</v>
      </c>
    </row>
    <row r="577" spans="4:5">
      <c r="D577" s="11">
        <v>575</v>
      </c>
      <c r="E577" s="11">
        <v>37.183397663192942</v>
      </c>
    </row>
    <row r="578" spans="4:5">
      <c r="D578" s="11">
        <v>576</v>
      </c>
      <c r="E578" s="11">
        <v>46.960396496238673</v>
      </c>
    </row>
    <row r="579" spans="4:5">
      <c r="D579" s="11">
        <v>577</v>
      </c>
      <c r="E579" s="11">
        <v>54.758959390295715</v>
      </c>
    </row>
    <row r="580" spans="4:5">
      <c r="D580" s="11">
        <v>578</v>
      </c>
      <c r="E580" s="11">
        <v>49.261201001009923</v>
      </c>
    </row>
    <row r="581" spans="4:5">
      <c r="D581" s="11">
        <v>579</v>
      </c>
      <c r="E581" s="11">
        <v>46.318222048520404</v>
      </c>
    </row>
    <row r="582" spans="4:5">
      <c r="D582" s="11">
        <v>580</v>
      </c>
      <c r="E582" s="11">
        <v>30.339445730349372</v>
      </c>
    </row>
    <row r="583" spans="4:5">
      <c r="D583" s="11">
        <v>581</v>
      </c>
      <c r="E583" s="11">
        <v>49.515977710880676</v>
      </c>
    </row>
    <row r="584" spans="4:5">
      <c r="D584" s="11">
        <v>582</v>
      </c>
      <c r="E584" s="11">
        <v>36.704441461771417</v>
      </c>
    </row>
    <row r="585" spans="4:5">
      <c r="D585" s="11">
        <v>583</v>
      </c>
      <c r="E585" s="11">
        <v>43.939438452216855</v>
      </c>
    </row>
    <row r="586" spans="4:5">
      <c r="D586" s="11">
        <v>584</v>
      </c>
      <c r="E586" s="11">
        <v>46.324942026702246</v>
      </c>
    </row>
    <row r="587" spans="4:5">
      <c r="D587" s="11">
        <v>585</v>
      </c>
      <c r="E587" s="11">
        <v>51.092475773153517</v>
      </c>
    </row>
    <row r="588" spans="4:5">
      <c r="D588" s="11">
        <v>586</v>
      </c>
      <c r="E588" s="11">
        <v>49.573897391329943</v>
      </c>
    </row>
    <row r="589" spans="4:5">
      <c r="D589" s="11">
        <v>587</v>
      </c>
      <c r="E589" s="11">
        <v>52.136553876085166</v>
      </c>
    </row>
    <row r="590" spans="4:5">
      <c r="D590" s="11">
        <v>588</v>
      </c>
      <c r="E590" s="11">
        <v>45.702098043135443</v>
      </c>
    </row>
    <row r="591" spans="4:5">
      <c r="D591" s="11">
        <v>589</v>
      </c>
      <c r="E591" s="11">
        <v>47.582927935071176</v>
      </c>
    </row>
    <row r="592" spans="4:5">
      <c r="D592" s="11">
        <v>590</v>
      </c>
      <c r="E592" s="11">
        <v>55.599150216890948</v>
      </c>
    </row>
    <row r="593" spans="4:5">
      <c r="D593" s="11">
        <v>591</v>
      </c>
      <c r="E593" s="11">
        <v>50.861515543677108</v>
      </c>
    </row>
    <row r="594" spans="4:5">
      <c r="D594" s="11">
        <v>592</v>
      </c>
      <c r="E594" s="11">
        <v>29.724542275660085</v>
      </c>
    </row>
    <row r="595" spans="4:5">
      <c r="D595" s="11">
        <v>593</v>
      </c>
      <c r="E595" s="11">
        <v>42.791480454213769</v>
      </c>
    </row>
    <row r="596" spans="4:5">
      <c r="D596" s="11">
        <v>594</v>
      </c>
      <c r="E596" s="11">
        <v>35.43510779982811</v>
      </c>
    </row>
    <row r="597" spans="4:5">
      <c r="D597" s="11">
        <v>595</v>
      </c>
      <c r="E597" s="11">
        <v>59.825361425883386</v>
      </c>
    </row>
    <row r="598" spans="4:5">
      <c r="D598" s="11">
        <v>596</v>
      </c>
      <c r="E598" s="11">
        <v>61.735291857889337</v>
      </c>
    </row>
    <row r="599" spans="4:5">
      <c r="D599" s="11">
        <v>597</v>
      </c>
      <c r="E599" s="11">
        <v>37.748800028065681</v>
      </c>
    </row>
    <row r="600" spans="4:5">
      <c r="D600" s="11">
        <v>598</v>
      </c>
      <c r="E600" s="11">
        <v>44.137286793841923</v>
      </c>
    </row>
    <row r="601" spans="4:5">
      <c r="D601" s="11">
        <v>599</v>
      </c>
      <c r="E601" s="11">
        <v>47.314269174977468</v>
      </c>
    </row>
    <row r="602" spans="4:5">
      <c r="D602" s="11">
        <v>600</v>
      </c>
      <c r="E602" s="11">
        <v>44.145013608082891</v>
      </c>
    </row>
    <row r="603" spans="4:5">
      <c r="D603" s="11">
        <v>601</v>
      </c>
      <c r="E603" s="11">
        <v>42.746844720084901</v>
      </c>
    </row>
    <row r="604" spans="4:5">
      <c r="D604" s="11">
        <v>602</v>
      </c>
      <c r="E604" s="11">
        <v>56.943924911227555</v>
      </c>
    </row>
    <row r="605" spans="4:5">
      <c r="D605" s="11">
        <v>603</v>
      </c>
      <c r="E605" s="11">
        <v>38.843151431961232</v>
      </c>
    </row>
    <row r="606" spans="4:5">
      <c r="D606" s="11">
        <v>604</v>
      </c>
      <c r="E606" s="11">
        <v>52.817195216143972</v>
      </c>
    </row>
    <row r="607" spans="4:5">
      <c r="D607" s="11">
        <v>605</v>
      </c>
      <c r="E607" s="11">
        <v>36.972033656688893</v>
      </c>
    </row>
    <row r="608" spans="4:5">
      <c r="D608" s="11">
        <v>606</v>
      </c>
      <c r="E608" s="11">
        <v>35.718344350719342</v>
      </c>
    </row>
    <row r="609" spans="4:5">
      <c r="D609" s="11">
        <v>607</v>
      </c>
      <c r="E609" s="11">
        <v>38.383949616506634</v>
      </c>
    </row>
    <row r="610" spans="4:5">
      <c r="D610" s="11">
        <v>608</v>
      </c>
      <c r="E610" s="11">
        <v>38.781255842791701</v>
      </c>
    </row>
    <row r="611" spans="4:5">
      <c r="D611" s="11">
        <v>609</v>
      </c>
      <c r="E611" s="11">
        <v>38.393991944750489</v>
      </c>
    </row>
    <row r="612" spans="4:5">
      <c r="D612" s="11">
        <v>610</v>
      </c>
      <c r="E612" s="11">
        <v>32.400725653017112</v>
      </c>
    </row>
    <row r="613" spans="4:5">
      <c r="D613" s="11">
        <v>611</v>
      </c>
      <c r="E613" s="11">
        <v>36.023188703087492</v>
      </c>
    </row>
    <row r="614" spans="4:5">
      <c r="D614" s="11">
        <v>612</v>
      </c>
      <c r="E614" s="11">
        <v>58.939550782419857</v>
      </c>
    </row>
    <row r="615" spans="4:5">
      <c r="D615" s="11">
        <v>613</v>
      </c>
      <c r="E615" s="11">
        <v>40.658634709571196</v>
      </c>
    </row>
    <row r="616" spans="4:5">
      <c r="D616" s="11">
        <v>614</v>
      </c>
      <c r="E616" s="11">
        <v>40.155976866332651</v>
      </c>
    </row>
    <row r="617" spans="4:5">
      <c r="D617" s="11">
        <v>615</v>
      </c>
      <c r="E617" s="11">
        <v>58.752390820967456</v>
      </c>
    </row>
    <row r="618" spans="4:5">
      <c r="D618" s="11">
        <v>616</v>
      </c>
      <c r="E618" s="11">
        <v>28.375828650246163</v>
      </c>
    </row>
    <row r="619" spans="4:5">
      <c r="D619" s="11">
        <v>617</v>
      </c>
      <c r="E619" s="11">
        <v>65.924775366736952</v>
      </c>
    </row>
    <row r="620" spans="4:5">
      <c r="D620" s="11">
        <v>618</v>
      </c>
      <c r="E620" s="11">
        <v>59.688340272593877</v>
      </c>
    </row>
    <row r="621" spans="4:5">
      <c r="D621" s="11">
        <v>619</v>
      </c>
      <c r="E621" s="11">
        <v>47.147632569205662</v>
      </c>
    </row>
    <row r="622" spans="4:5">
      <c r="D622" s="11">
        <v>620</v>
      </c>
      <c r="E622" s="11">
        <v>44.900032035883726</v>
      </c>
    </row>
    <row r="623" spans="4:5">
      <c r="D623" s="11">
        <v>621</v>
      </c>
      <c r="E623" s="11">
        <v>41.095888135891911</v>
      </c>
    </row>
    <row r="624" spans="4:5">
      <c r="D624" s="11">
        <v>622</v>
      </c>
      <c r="E624" s="11">
        <v>42.646589611614218</v>
      </c>
    </row>
    <row r="625" spans="4:5">
      <c r="D625" s="11">
        <v>623</v>
      </c>
      <c r="E625" s="11">
        <v>47.496415332367739</v>
      </c>
    </row>
    <row r="626" spans="4:5">
      <c r="D626" s="11">
        <v>624</v>
      </c>
      <c r="E626" s="11">
        <v>40.244817102438326</v>
      </c>
    </row>
    <row r="627" spans="4:5">
      <c r="D627" s="11">
        <v>625</v>
      </c>
      <c r="E627" s="11">
        <v>45.96192365965225</v>
      </c>
    </row>
    <row r="628" spans="4:5">
      <c r="D628" s="11">
        <v>626</v>
      </c>
      <c r="E628" s="11">
        <v>47.500780920759802</v>
      </c>
    </row>
    <row r="629" spans="4:5">
      <c r="D629" s="11">
        <v>627</v>
      </c>
      <c r="E629" s="11">
        <v>37.24244363724538</v>
      </c>
    </row>
    <row r="630" spans="4:5">
      <c r="D630" s="11">
        <v>628</v>
      </c>
      <c r="E630" s="11">
        <v>42.779552436735571</v>
      </c>
    </row>
    <row r="631" spans="4:5">
      <c r="D631" s="11">
        <v>629</v>
      </c>
      <c r="E631" s="11">
        <v>38.68407199860436</v>
      </c>
    </row>
    <row r="632" spans="4:5">
      <c r="D632" s="11">
        <v>630</v>
      </c>
      <c r="E632" s="11">
        <v>42.372507667128581</v>
      </c>
    </row>
    <row r="633" spans="4:5">
      <c r="D633" s="11">
        <v>631</v>
      </c>
      <c r="E633" s="11">
        <v>46.464481476944989</v>
      </c>
    </row>
    <row r="634" spans="4:5">
      <c r="D634" s="11">
        <v>632</v>
      </c>
      <c r="E634" s="11">
        <v>59.057647345584293</v>
      </c>
    </row>
    <row r="635" spans="4:5">
      <c r="D635" s="11">
        <v>633</v>
      </c>
      <c r="E635" s="11">
        <v>44.525128293505411</v>
      </c>
    </row>
    <row r="636" spans="4:5">
      <c r="D636" s="11">
        <v>634</v>
      </c>
      <c r="E636" s="11">
        <v>60.931195071083167</v>
      </c>
    </row>
    <row r="637" spans="4:5">
      <c r="D637" s="11">
        <v>635</v>
      </c>
      <c r="E637" s="11">
        <v>48.366623862318512</v>
      </c>
    </row>
    <row r="638" spans="4:5">
      <c r="D638" s="11">
        <v>636</v>
      </c>
      <c r="E638" s="11">
        <v>49.140263654073145</v>
      </c>
    </row>
    <row r="639" spans="4:5">
      <c r="D639" s="11">
        <v>637</v>
      </c>
      <c r="E639" s="11">
        <v>57.18219082937852</v>
      </c>
    </row>
    <row r="640" spans="4:5">
      <c r="D640" s="11">
        <v>638</v>
      </c>
      <c r="E640" s="11">
        <v>49.904195474124904</v>
      </c>
    </row>
    <row r="641" spans="4:5">
      <c r="D641" s="11">
        <v>639</v>
      </c>
      <c r="E641" s="11">
        <v>29.673659402733637</v>
      </c>
    </row>
    <row r="642" spans="4:5">
      <c r="D642" s="11">
        <v>640</v>
      </c>
      <c r="E642" s="11">
        <v>50.898794499643657</v>
      </c>
    </row>
    <row r="643" spans="4:5">
      <c r="D643" s="11">
        <v>641</v>
      </c>
      <c r="E643" s="11">
        <v>46.54420701707452</v>
      </c>
    </row>
    <row r="644" spans="4:5">
      <c r="D644" s="11">
        <v>642</v>
      </c>
      <c r="E644" s="11">
        <v>54.215204412210312</v>
      </c>
    </row>
    <row r="645" spans="4:5">
      <c r="D645" s="11">
        <v>643</v>
      </c>
      <c r="E645" s="11">
        <v>58.458005506878258</v>
      </c>
    </row>
    <row r="646" spans="4:5">
      <c r="D646" s="11">
        <v>644</v>
      </c>
      <c r="E646" s="11">
        <v>47.343319323189213</v>
      </c>
    </row>
    <row r="647" spans="4:5">
      <c r="D647" s="11">
        <v>645</v>
      </c>
      <c r="E647" s="11">
        <v>48.830148075863974</v>
      </c>
    </row>
    <row r="648" spans="4:5">
      <c r="D648" s="11">
        <v>646</v>
      </c>
      <c r="E648" s="11">
        <v>43.60212744727059</v>
      </c>
    </row>
    <row r="649" spans="4:5">
      <c r="D649" s="11">
        <v>647</v>
      </c>
      <c r="E649" s="11">
        <v>43.355321122610789</v>
      </c>
    </row>
    <row r="650" spans="4:5">
      <c r="D650" s="11">
        <v>648</v>
      </c>
      <c r="E650" s="11">
        <v>38.858587229696653</v>
      </c>
    </row>
    <row r="651" spans="4:5">
      <c r="D651" s="11">
        <v>649</v>
      </c>
      <c r="E651" s="11">
        <v>58.224204885597267</v>
      </c>
    </row>
    <row r="652" spans="4:5">
      <c r="D652" s="11">
        <v>650</v>
      </c>
      <c r="E652" s="11">
        <v>40.442433456989008</v>
      </c>
    </row>
    <row r="653" spans="4:5">
      <c r="D653" s="11">
        <v>651</v>
      </c>
      <c r="E653" s="11">
        <v>46.630217289329657</v>
      </c>
    </row>
    <row r="654" spans="4:5">
      <c r="D654" s="11">
        <v>652</v>
      </c>
      <c r="E654" s="11">
        <v>46.04843711890495</v>
      </c>
    </row>
    <row r="655" spans="4:5">
      <c r="D655" s="11">
        <v>653</v>
      </c>
      <c r="E655" s="11">
        <v>39.920830496123621</v>
      </c>
    </row>
    <row r="656" spans="4:5">
      <c r="D656" s="11">
        <v>654</v>
      </c>
      <c r="E656" s="11">
        <v>46.820857698124229</v>
      </c>
    </row>
    <row r="657" spans="4:5">
      <c r="D657" s="11">
        <v>655</v>
      </c>
      <c r="E657" s="11">
        <v>59.552535524250565</v>
      </c>
    </row>
    <row r="658" spans="4:5">
      <c r="D658" s="11">
        <v>656</v>
      </c>
      <c r="E658" s="11">
        <v>28.085848648561477</v>
      </c>
    </row>
    <row r="659" spans="4:5">
      <c r="D659" s="11">
        <v>657</v>
      </c>
      <c r="E659" s="11">
        <v>49.534039765550915</v>
      </c>
    </row>
    <row r="660" spans="4:5">
      <c r="D660" s="11">
        <v>658</v>
      </c>
      <c r="E660" s="11">
        <v>33.850480650811491</v>
      </c>
    </row>
    <row r="661" spans="4:5">
      <c r="D661" s="11">
        <v>659</v>
      </c>
      <c r="E661" s="11">
        <v>29.964202933732427</v>
      </c>
    </row>
    <row r="662" spans="4:5">
      <c r="D662" s="11">
        <v>660</v>
      </c>
      <c r="E662" s="11">
        <v>41.329366513823871</v>
      </c>
    </row>
    <row r="663" spans="4:5">
      <c r="D663" s="11">
        <v>661</v>
      </c>
      <c r="E663" s="11">
        <v>62.23439518177755</v>
      </c>
    </row>
    <row r="664" spans="4:5">
      <c r="D664" s="11">
        <v>662</v>
      </c>
      <c r="E664" s="11">
        <v>54.838030331046063</v>
      </c>
    </row>
    <row r="665" spans="4:5">
      <c r="D665" s="11">
        <v>663</v>
      </c>
      <c r="E665" s="11">
        <v>35.796276041973591</v>
      </c>
    </row>
    <row r="666" spans="4:5">
      <c r="D666" s="11">
        <v>664</v>
      </c>
      <c r="E666" s="11">
        <v>46.075851909708845</v>
      </c>
    </row>
    <row r="667" spans="4:5">
      <c r="D667" s="11">
        <v>665</v>
      </c>
      <c r="E667" s="11">
        <v>50.525772413144821</v>
      </c>
    </row>
    <row r="668" spans="4:5">
      <c r="D668" s="11">
        <v>666</v>
      </c>
      <c r="E668" s="11">
        <v>46.23697780154977</v>
      </c>
    </row>
    <row r="669" spans="4:5">
      <c r="D669" s="11">
        <v>667</v>
      </c>
      <c r="E669" s="11">
        <v>34.167934974729306</v>
      </c>
    </row>
    <row r="670" spans="4:5">
      <c r="D670" s="11">
        <v>668</v>
      </c>
      <c r="E670" s="11">
        <v>30.010103105424204</v>
      </c>
    </row>
    <row r="671" spans="4:5">
      <c r="D671" s="11">
        <v>669</v>
      </c>
      <c r="E671" s="11">
        <v>51.487065269225141</v>
      </c>
    </row>
    <row r="672" spans="4:5">
      <c r="D672" s="11">
        <v>670</v>
      </c>
      <c r="E672" s="11">
        <v>43.843010089514586</v>
      </c>
    </row>
    <row r="673" spans="4:5">
      <c r="D673" s="11">
        <v>671</v>
      </c>
      <c r="E673" s="11">
        <v>49.258247086419857</v>
      </c>
    </row>
    <row r="674" spans="4:5">
      <c r="D674" s="11">
        <v>672</v>
      </c>
      <c r="E674" s="11">
        <v>35.351826089900825</v>
      </c>
    </row>
    <row r="675" spans="4:5">
      <c r="D675" s="11">
        <v>673</v>
      </c>
      <c r="E675" s="11">
        <v>26.712567191767484</v>
      </c>
    </row>
    <row r="676" spans="4:5">
      <c r="D676" s="11">
        <v>674</v>
      </c>
      <c r="E676" s="11">
        <v>47.309391647188221</v>
      </c>
    </row>
    <row r="677" spans="4:5">
      <c r="D677" s="11">
        <v>675</v>
      </c>
      <c r="E677" s="11">
        <v>29.394376084525099</v>
      </c>
    </row>
    <row r="678" spans="4:5">
      <c r="D678" s="11">
        <v>676</v>
      </c>
      <c r="E678" s="11">
        <v>27.346742663649856</v>
      </c>
    </row>
    <row r="679" spans="4:5">
      <c r="D679" s="11">
        <v>677</v>
      </c>
      <c r="E679" s="11">
        <v>38.096188824235689</v>
      </c>
    </row>
    <row r="680" spans="4:5">
      <c r="D680" s="11">
        <v>678</v>
      </c>
      <c r="E680" s="11">
        <v>40.809903120786508</v>
      </c>
    </row>
    <row r="681" spans="4:5">
      <c r="D681" s="11">
        <v>679</v>
      </c>
      <c r="E681" s="11">
        <v>42.490436118372095</v>
      </c>
    </row>
    <row r="682" spans="4:5">
      <c r="D682" s="11">
        <v>680</v>
      </c>
      <c r="E682" s="11">
        <v>37.946363266020469</v>
      </c>
    </row>
    <row r="683" spans="4:5">
      <c r="D683" s="11">
        <v>681</v>
      </c>
      <c r="E683" s="11">
        <v>28.927970977955571</v>
      </c>
    </row>
    <row r="684" spans="4:5">
      <c r="D684" s="11">
        <v>682</v>
      </c>
      <c r="E684" s="11">
        <v>41.489195105515464</v>
      </c>
    </row>
    <row r="685" spans="4:5">
      <c r="D685" s="11">
        <v>683</v>
      </c>
      <c r="E685" s="11">
        <v>55.71786321179038</v>
      </c>
    </row>
    <row r="686" spans="4:5">
      <c r="D686" s="11">
        <v>684</v>
      </c>
      <c r="E686" s="11">
        <v>41.39567053068631</v>
      </c>
    </row>
    <row r="687" spans="4:5">
      <c r="D687" s="11">
        <v>685</v>
      </c>
      <c r="E687" s="11">
        <v>44.632168882676254</v>
      </c>
    </row>
    <row r="688" spans="4:5">
      <c r="D688" s="11">
        <v>686</v>
      </c>
      <c r="E688" s="11">
        <v>53.423555870752892</v>
      </c>
    </row>
    <row r="689" spans="4:5">
      <c r="D689" s="11">
        <v>687</v>
      </c>
      <c r="E689" s="11">
        <v>46.222587986227971</v>
      </c>
    </row>
    <row r="690" spans="4:5">
      <c r="D690" s="11">
        <v>688</v>
      </c>
      <c r="E690" s="11">
        <v>31.08026759400115</v>
      </c>
    </row>
    <row r="691" spans="4:5">
      <c r="D691" s="11">
        <v>689</v>
      </c>
      <c r="E691" s="11">
        <v>45.998825293364035</v>
      </c>
    </row>
    <row r="692" spans="4:5">
      <c r="D692" s="11">
        <v>690</v>
      </c>
      <c r="E692" s="11">
        <v>41.208333971128624</v>
      </c>
    </row>
    <row r="693" spans="4:5">
      <c r="D693" s="11">
        <v>691</v>
      </c>
      <c r="E693" s="11">
        <v>58.527935222382354</v>
      </c>
    </row>
    <row r="694" spans="4:5">
      <c r="D694" s="11">
        <v>692</v>
      </c>
      <c r="E694" s="11">
        <v>37.299742560634925</v>
      </c>
    </row>
    <row r="695" spans="4:5">
      <c r="D695" s="11">
        <v>693</v>
      </c>
      <c r="E695" s="11">
        <v>62.217778854729538</v>
      </c>
    </row>
    <row r="696" spans="4:5">
      <c r="D696" s="11">
        <v>694</v>
      </c>
      <c r="E696" s="11">
        <v>52.842439898286187</v>
      </c>
    </row>
    <row r="697" spans="4:5">
      <c r="D697" s="11">
        <v>695</v>
      </c>
      <c r="E697" s="11">
        <v>64.331485147018142</v>
      </c>
    </row>
    <row r="698" spans="4:5">
      <c r="D698" s="11">
        <v>696</v>
      </c>
      <c r="E698" s="11">
        <v>34.728016781268799</v>
      </c>
    </row>
    <row r="699" spans="4:5">
      <c r="D699" s="11">
        <v>697</v>
      </c>
      <c r="E699" s="11">
        <v>38.382349368197147</v>
      </c>
    </row>
    <row r="700" spans="4:5">
      <c r="D700" s="11">
        <v>698</v>
      </c>
      <c r="E700" s="11">
        <v>35.874744624254561</v>
      </c>
    </row>
    <row r="701" spans="4:5">
      <c r="D701" s="11">
        <v>699</v>
      </c>
      <c r="E701" s="11">
        <v>44.069622545089366</v>
      </c>
    </row>
    <row r="702" spans="4:5">
      <c r="D702" s="11">
        <v>700</v>
      </c>
      <c r="E702" s="11">
        <v>44.13816877815853</v>
      </c>
    </row>
    <row r="703" spans="4:5">
      <c r="D703" s="11">
        <v>701</v>
      </c>
      <c r="E703" s="11">
        <v>38.795658193326211</v>
      </c>
    </row>
    <row r="704" spans="4:5">
      <c r="D704" s="11">
        <v>702</v>
      </c>
      <c r="E704" s="11">
        <v>40.611297305668167</v>
      </c>
    </row>
    <row r="705" spans="4:5">
      <c r="D705" s="11">
        <v>703</v>
      </c>
      <c r="E705" s="11">
        <v>42.38725572739957</v>
      </c>
    </row>
    <row r="706" spans="4:5">
      <c r="D706" s="11">
        <v>704</v>
      </c>
      <c r="E706" s="11">
        <v>41.976015866072906</v>
      </c>
    </row>
    <row r="707" spans="4:5">
      <c r="D707" s="11">
        <v>705</v>
      </c>
      <c r="E707" s="11">
        <v>51.730094737999742</v>
      </c>
    </row>
    <row r="708" spans="4:5">
      <c r="D708" s="11">
        <v>706</v>
      </c>
      <c r="E708" s="11">
        <v>30.8232750762505</v>
      </c>
    </row>
    <row r="709" spans="4:5">
      <c r="D709" s="11">
        <v>707</v>
      </c>
      <c r="E709" s="11">
        <v>54.788378392208983</v>
      </c>
    </row>
    <row r="710" spans="4:5">
      <c r="D710" s="11">
        <v>708</v>
      </c>
      <c r="E710" s="11">
        <v>35.981687427806733</v>
      </c>
    </row>
    <row r="711" spans="4:5">
      <c r="D711" s="11">
        <v>709</v>
      </c>
      <c r="E711" s="11">
        <v>26.723885639129509</v>
      </c>
    </row>
    <row r="712" spans="4:5">
      <c r="D712" s="11">
        <v>710</v>
      </c>
      <c r="E712" s="11">
        <v>55.675221610516594</v>
      </c>
    </row>
    <row r="713" spans="4:5">
      <c r="D713" s="11">
        <v>711</v>
      </c>
      <c r="E713" s="11">
        <v>42.869167660440922</v>
      </c>
    </row>
    <row r="714" spans="4:5">
      <c r="D714" s="11">
        <v>712</v>
      </c>
      <c r="E714" s="11">
        <v>50.457814800978333</v>
      </c>
    </row>
    <row r="715" spans="4:5">
      <c r="D715" s="11">
        <v>713</v>
      </c>
      <c r="E715" s="11">
        <v>38.535897771307148</v>
      </c>
    </row>
    <row r="716" spans="4:5">
      <c r="D716" s="11">
        <v>714</v>
      </c>
      <c r="E716" s="11">
        <v>46.699838508586957</v>
      </c>
    </row>
    <row r="717" spans="4:5">
      <c r="D717" s="11">
        <v>715</v>
      </c>
      <c r="E717" s="11">
        <v>50.172023407357614</v>
      </c>
    </row>
    <row r="718" spans="4:5">
      <c r="D718" s="11">
        <v>716</v>
      </c>
      <c r="E718" s="11">
        <v>64.908280676749825</v>
      </c>
    </row>
    <row r="719" spans="4:5">
      <c r="D719" s="11">
        <v>717</v>
      </c>
      <c r="E719" s="11">
        <v>46.540095377705427</v>
      </c>
    </row>
    <row r="720" spans="4:5">
      <c r="D720" s="11">
        <v>718</v>
      </c>
      <c r="E720" s="11">
        <v>49.930272005810082</v>
      </c>
    </row>
    <row r="721" spans="4:5">
      <c r="D721" s="11">
        <v>719</v>
      </c>
      <c r="E721" s="11">
        <v>34.85092975841097</v>
      </c>
    </row>
    <row r="722" spans="4:5">
      <c r="D722" s="11">
        <v>720</v>
      </c>
      <c r="E722" s="11">
        <v>29.10367878721652</v>
      </c>
    </row>
    <row r="723" spans="4:5">
      <c r="D723" s="11">
        <v>721</v>
      </c>
      <c r="E723" s="11">
        <v>48.102985782958591</v>
      </c>
    </row>
    <row r="724" spans="4:5">
      <c r="D724" s="11">
        <v>722</v>
      </c>
      <c r="E724" s="11">
        <v>41.713756277370159</v>
      </c>
    </row>
    <row r="725" spans="4:5">
      <c r="D725" s="11">
        <v>723</v>
      </c>
      <c r="E725" s="11">
        <v>45.067815333435419</v>
      </c>
    </row>
    <row r="726" spans="4:5">
      <c r="D726" s="11">
        <v>724</v>
      </c>
      <c r="E726" s="11">
        <v>56.365994739284531</v>
      </c>
    </row>
    <row r="727" spans="4:5">
      <c r="D727" s="11">
        <v>725</v>
      </c>
      <c r="E727" s="11">
        <v>40.968745608747071</v>
      </c>
    </row>
    <row r="728" spans="4:5">
      <c r="D728" s="11">
        <v>726</v>
      </c>
      <c r="E728" s="11">
        <v>54.41731184310153</v>
      </c>
    </row>
    <row r="729" spans="4:5">
      <c r="D729" s="11">
        <v>727</v>
      </c>
      <c r="E729" s="11">
        <v>57.79078715538396</v>
      </c>
    </row>
    <row r="730" spans="4:5">
      <c r="D730" s="11">
        <v>728</v>
      </c>
      <c r="E730" s="11">
        <v>28.820621390592208</v>
      </c>
    </row>
    <row r="731" spans="4:5">
      <c r="D731" s="11">
        <v>729</v>
      </c>
      <c r="E731" s="11">
        <v>51.553127394170225</v>
      </c>
    </row>
    <row r="732" spans="4:5">
      <c r="D732" s="11">
        <v>730</v>
      </c>
      <c r="E732" s="11">
        <v>57.986825164237686</v>
      </c>
    </row>
    <row r="733" spans="4:5">
      <c r="D733" s="11">
        <v>731</v>
      </c>
      <c r="E733" s="11">
        <v>46.216122044049634</v>
      </c>
    </row>
    <row r="734" spans="4:5">
      <c r="D734" s="11">
        <v>732</v>
      </c>
      <c r="E734" s="11">
        <v>36.217968620788653</v>
      </c>
    </row>
    <row r="735" spans="4:5">
      <c r="D735" s="11">
        <v>733</v>
      </c>
      <c r="E735" s="11">
        <v>61.229685910899818</v>
      </c>
    </row>
    <row r="736" spans="4:5">
      <c r="D736" s="11">
        <v>734</v>
      </c>
      <c r="E736" s="11">
        <v>66.914968905884962</v>
      </c>
    </row>
    <row r="737" spans="4:5">
      <c r="D737" s="11">
        <v>735</v>
      </c>
      <c r="E737" s="11">
        <v>30.411383197934946</v>
      </c>
    </row>
    <row r="738" spans="4:5">
      <c r="D738" s="11">
        <v>736</v>
      </c>
      <c r="E738" s="11">
        <v>59.541156438627368</v>
      </c>
    </row>
    <row r="739" spans="4:5">
      <c r="D739" s="11">
        <v>737</v>
      </c>
      <c r="E739" s="11">
        <v>30.16110465976907</v>
      </c>
    </row>
    <row r="740" spans="4:5">
      <c r="D740" s="11">
        <v>738</v>
      </c>
      <c r="E740" s="11">
        <v>37.3779751733002</v>
      </c>
    </row>
    <row r="741" spans="4:5">
      <c r="D741" s="11">
        <v>739</v>
      </c>
      <c r="E741" s="11">
        <v>42.743540496089551</v>
      </c>
    </row>
    <row r="742" spans="4:5">
      <c r="D742" s="11">
        <v>740</v>
      </c>
      <c r="E742" s="11">
        <v>30.076766752630853</v>
      </c>
    </row>
    <row r="743" spans="4:5">
      <c r="D743" s="11">
        <v>741</v>
      </c>
      <c r="E743" s="11">
        <v>45.535797155235258</v>
      </c>
    </row>
    <row r="744" spans="4:5">
      <c r="D744" s="11">
        <v>742</v>
      </c>
      <c r="E744" s="11">
        <v>42.492629775877788</v>
      </c>
    </row>
    <row r="745" spans="4:5">
      <c r="D745" s="11">
        <v>743</v>
      </c>
      <c r="E745" s="11">
        <v>34.589538931934683</v>
      </c>
    </row>
    <row r="746" spans="4:5">
      <c r="D746" s="11">
        <v>744</v>
      </c>
      <c r="E746" s="11">
        <v>32.665681242401689</v>
      </c>
    </row>
    <row r="747" spans="4:5">
      <c r="D747" s="11">
        <v>745</v>
      </c>
      <c r="E747" s="11">
        <v>57.238305770373614</v>
      </c>
    </row>
    <row r="748" spans="4:5">
      <c r="D748" s="11">
        <v>746</v>
      </c>
      <c r="E748" s="11">
        <v>37.296588998642505</v>
      </c>
    </row>
    <row r="749" spans="4:5">
      <c r="D749" s="11">
        <v>747</v>
      </c>
      <c r="E749" s="11">
        <v>35.49727438067768</v>
      </c>
    </row>
    <row r="750" spans="4:5">
      <c r="D750" s="11">
        <v>748</v>
      </c>
      <c r="E750" s="11">
        <v>44.615735914707045</v>
      </c>
    </row>
    <row r="751" spans="4:5">
      <c r="D751" s="11">
        <v>749</v>
      </c>
      <c r="E751" s="11">
        <v>35.138642755784694</v>
      </c>
    </row>
    <row r="752" spans="4:5">
      <c r="D752" s="11">
        <v>750</v>
      </c>
      <c r="E752" s="11">
        <v>47.678238356499428</v>
      </c>
    </row>
    <row r="753" spans="4:5">
      <c r="D753" s="11">
        <v>751</v>
      </c>
      <c r="E753" s="11">
        <v>36.560422188184397</v>
      </c>
    </row>
    <row r="754" spans="4:5">
      <c r="D754" s="11">
        <v>752</v>
      </c>
      <c r="E754" s="11">
        <v>55.432138317706915</v>
      </c>
    </row>
    <row r="755" spans="4:5">
      <c r="D755" s="11">
        <v>753</v>
      </c>
      <c r="E755" s="11">
        <v>37.389313225033284</v>
      </c>
    </row>
    <row r="756" spans="4:5">
      <c r="D756" s="11">
        <v>754</v>
      </c>
      <c r="E756" s="11">
        <v>45.461340504353359</v>
      </c>
    </row>
    <row r="757" spans="4:5">
      <c r="D757" s="11">
        <v>755</v>
      </c>
      <c r="E757" s="11">
        <v>43.25624710861721</v>
      </c>
    </row>
    <row r="758" spans="4:5">
      <c r="D758" s="11">
        <v>756</v>
      </c>
      <c r="E758" s="11">
        <v>44.524590257614527</v>
      </c>
    </row>
    <row r="759" spans="4:5">
      <c r="D759" s="11">
        <v>757</v>
      </c>
      <c r="E759" s="11">
        <v>59.510112691643208</v>
      </c>
    </row>
    <row r="760" spans="4:5">
      <c r="D760" s="11">
        <v>758</v>
      </c>
      <c r="E760" s="11">
        <v>27.233915584163686</v>
      </c>
    </row>
    <row r="761" spans="4:5">
      <c r="D761" s="11">
        <v>759</v>
      </c>
      <c r="E761" s="11">
        <v>46.468695906111272</v>
      </c>
    </row>
    <row r="762" spans="4:5">
      <c r="D762" s="11">
        <v>760</v>
      </c>
      <c r="E762" s="11">
        <v>56.961068936537821</v>
      </c>
    </row>
    <row r="763" spans="4:5">
      <c r="D763" s="11">
        <v>761</v>
      </c>
      <c r="E763" s="11">
        <v>37.365168678412658</v>
      </c>
    </row>
    <row r="764" spans="4:5">
      <c r="D764" s="11">
        <v>762</v>
      </c>
      <c r="E764" s="11">
        <v>42.839806851890664</v>
      </c>
    </row>
    <row r="765" spans="4:5">
      <c r="D765" s="11">
        <v>763</v>
      </c>
      <c r="E765" s="11">
        <v>33.412421740017649</v>
      </c>
    </row>
    <row r="766" spans="4:5">
      <c r="D766" s="11">
        <v>764</v>
      </c>
      <c r="E766" s="11">
        <v>55.98941495067713</v>
      </c>
    </row>
    <row r="767" spans="4:5">
      <c r="D767" s="11">
        <v>765</v>
      </c>
      <c r="E767" s="11">
        <v>54.478798814644499</v>
      </c>
    </row>
    <row r="768" spans="4:5">
      <c r="D768" s="11">
        <v>766</v>
      </c>
      <c r="E768" s="11">
        <v>45.956636913699036</v>
      </c>
    </row>
    <row r="769" spans="4:5">
      <c r="D769" s="11">
        <v>767</v>
      </c>
      <c r="E769" s="11">
        <v>37.630355311473267</v>
      </c>
    </row>
    <row r="770" spans="4:5">
      <c r="D770" s="11">
        <v>768</v>
      </c>
      <c r="E770" s="11">
        <v>49.430332331052654</v>
      </c>
    </row>
    <row r="771" spans="4:5">
      <c r="D771" s="11">
        <v>769</v>
      </c>
      <c r="E771" s="11">
        <v>59.609209847105184</v>
      </c>
    </row>
    <row r="772" spans="4:5">
      <c r="D772" s="11">
        <v>770</v>
      </c>
      <c r="E772" s="11">
        <v>42.775193674702109</v>
      </c>
    </row>
    <row r="773" spans="4:5">
      <c r="D773" s="11">
        <v>771</v>
      </c>
      <c r="E773" s="11">
        <v>45.611438577267911</v>
      </c>
    </row>
    <row r="774" spans="4:5">
      <c r="D774" s="11">
        <v>772</v>
      </c>
      <c r="E774" s="11">
        <v>34.873699221471043</v>
      </c>
    </row>
    <row r="775" spans="4:5">
      <c r="D775" s="11">
        <v>773</v>
      </c>
      <c r="E775" s="11">
        <v>42.179526093750326</v>
      </c>
    </row>
    <row r="776" spans="4:5">
      <c r="D776" s="11">
        <v>774</v>
      </c>
      <c r="E776" s="11">
        <v>38.168328180358735</v>
      </c>
    </row>
    <row r="777" spans="4:5">
      <c r="D777" s="11">
        <v>775</v>
      </c>
      <c r="E777" s="11">
        <v>59.581066477498581</v>
      </c>
    </row>
    <row r="778" spans="4:5">
      <c r="D778" s="11">
        <v>776</v>
      </c>
      <c r="E778" s="11">
        <v>32.35527795692213</v>
      </c>
    </row>
    <row r="779" spans="4:5">
      <c r="D779" s="11">
        <v>777</v>
      </c>
      <c r="E779" s="11">
        <v>41.161704399407867</v>
      </c>
    </row>
    <row r="780" spans="4:5">
      <c r="D780" s="11">
        <v>778</v>
      </c>
      <c r="E780" s="11">
        <v>50.83734380268303</v>
      </c>
    </row>
    <row r="781" spans="4:5">
      <c r="D781" s="11">
        <v>779</v>
      </c>
      <c r="E781" s="11">
        <v>41.419663768744456</v>
      </c>
    </row>
    <row r="782" spans="4:5">
      <c r="D782" s="11">
        <v>780</v>
      </c>
      <c r="E782" s="11">
        <v>51.251835599835857</v>
      </c>
    </row>
    <row r="783" spans="4:5">
      <c r="D783" s="11">
        <v>781</v>
      </c>
      <c r="E783" s="11">
        <v>39.997255430721204</v>
      </c>
    </row>
    <row r="784" spans="4:5">
      <c r="D784" s="11">
        <v>782</v>
      </c>
      <c r="E784" s="11">
        <v>33.360570663403131</v>
      </c>
    </row>
    <row r="785" spans="4:5">
      <c r="D785" s="11">
        <v>783</v>
      </c>
      <c r="E785" s="11">
        <v>46.075620495697656</v>
      </c>
    </row>
    <row r="786" spans="4:5">
      <c r="D786" s="11">
        <v>784</v>
      </c>
      <c r="E786" s="11">
        <v>31.369739286619346</v>
      </c>
    </row>
    <row r="787" spans="4:5">
      <c r="D787" s="11">
        <v>785</v>
      </c>
      <c r="E787" s="11">
        <v>47.509476134039197</v>
      </c>
    </row>
    <row r="788" spans="4:5">
      <c r="D788" s="11">
        <v>786</v>
      </c>
      <c r="E788" s="11">
        <v>32.475205285649537</v>
      </c>
    </row>
    <row r="789" spans="4:5">
      <c r="D789" s="11">
        <v>787</v>
      </c>
      <c r="E789" s="11">
        <v>44.528430862997432</v>
      </c>
    </row>
    <row r="790" spans="4:5">
      <c r="D790" s="11">
        <v>788</v>
      </c>
      <c r="E790" s="11">
        <v>43.808356901428247</v>
      </c>
    </row>
    <row r="791" spans="4:5">
      <c r="D791" s="11">
        <v>789</v>
      </c>
      <c r="E791" s="11">
        <v>54.963865231685091</v>
      </c>
    </row>
    <row r="792" spans="4:5">
      <c r="D792" s="11">
        <v>790</v>
      </c>
      <c r="E792" s="11">
        <v>63.994461133595074</v>
      </c>
    </row>
    <row r="793" spans="4:5">
      <c r="D793" s="11">
        <v>791</v>
      </c>
      <c r="E793" s="11">
        <v>49.030293273459591</v>
      </c>
    </row>
    <row r="794" spans="4:5">
      <c r="D794" s="11">
        <v>792</v>
      </c>
      <c r="E794" s="11">
        <v>47.501690275912445</v>
      </c>
    </row>
    <row r="795" spans="4:5">
      <c r="D795" s="11">
        <v>793</v>
      </c>
      <c r="E795" s="11">
        <v>56.047494718537692</v>
      </c>
    </row>
    <row r="796" spans="4:5">
      <c r="D796" s="11">
        <v>794</v>
      </c>
      <c r="E796" s="11">
        <v>39.650821597760768</v>
      </c>
    </row>
    <row r="797" spans="4:5">
      <c r="D797" s="11">
        <v>795</v>
      </c>
      <c r="E797" s="11">
        <v>49.297872678313624</v>
      </c>
    </row>
    <row r="798" spans="4:5">
      <c r="D798" s="11">
        <v>796</v>
      </c>
      <c r="E798" s="11">
        <v>63.774504237006198</v>
      </c>
    </row>
    <row r="799" spans="4:5">
      <c r="D799" s="11">
        <v>797</v>
      </c>
      <c r="E799" s="11">
        <v>36.859249752158881</v>
      </c>
    </row>
    <row r="800" spans="4:5">
      <c r="D800" s="11">
        <v>798</v>
      </c>
      <c r="E800" s="11">
        <v>36.415233559501068</v>
      </c>
    </row>
    <row r="801" spans="4:5">
      <c r="D801" s="11">
        <v>799</v>
      </c>
      <c r="E801" s="11">
        <v>41.46352302109036</v>
      </c>
    </row>
    <row r="802" spans="4:5">
      <c r="D802" s="11">
        <v>800</v>
      </c>
      <c r="E802" s="11">
        <v>32.036359448531471</v>
      </c>
    </row>
    <row r="803" spans="4:5">
      <c r="D803" s="11">
        <v>801</v>
      </c>
      <c r="E803" s="11">
        <v>62.163795369987149</v>
      </c>
    </row>
    <row r="804" spans="4:5">
      <c r="D804" s="11">
        <v>802</v>
      </c>
      <c r="E804" s="11">
        <v>62.509692683259139</v>
      </c>
    </row>
    <row r="805" spans="4:5">
      <c r="D805" s="11">
        <v>803</v>
      </c>
      <c r="E805" s="11">
        <v>59.042971582747491</v>
      </c>
    </row>
    <row r="806" spans="4:5">
      <c r="D806" s="11">
        <v>804</v>
      </c>
      <c r="E806" s="11">
        <v>36.828224669541868</v>
      </c>
    </row>
    <row r="807" spans="4:5">
      <c r="D807" s="11">
        <v>805</v>
      </c>
      <c r="E807" s="11">
        <v>33.260315770007026</v>
      </c>
    </row>
    <row r="808" spans="4:5">
      <c r="D808" s="11">
        <v>806</v>
      </c>
      <c r="E808" s="11">
        <v>46.05535867221424</v>
      </c>
    </row>
    <row r="809" spans="4:5">
      <c r="D809" s="11">
        <v>807</v>
      </c>
      <c r="E809" s="11">
        <v>62.119479872188847</v>
      </c>
    </row>
    <row r="810" spans="4:5">
      <c r="D810" s="11">
        <v>808</v>
      </c>
      <c r="E810" s="11">
        <v>31.851164284532832</v>
      </c>
    </row>
    <row r="811" spans="4:5">
      <c r="D811" s="11">
        <v>809</v>
      </c>
      <c r="E811" s="11">
        <v>41.635786293939283</v>
      </c>
    </row>
    <row r="812" spans="4:5">
      <c r="D812" s="11">
        <v>810</v>
      </c>
      <c r="E812" s="11">
        <v>39.136583596030256</v>
      </c>
    </row>
    <row r="813" spans="4:5">
      <c r="D813" s="11">
        <v>811</v>
      </c>
      <c r="E813" s="11">
        <v>60.450637130834515</v>
      </c>
    </row>
    <row r="814" spans="4:5">
      <c r="D814" s="11">
        <v>812</v>
      </c>
      <c r="E814" s="11">
        <v>27.824868882161272</v>
      </c>
    </row>
    <row r="815" spans="4:5">
      <c r="D815" s="11">
        <v>813</v>
      </c>
      <c r="E815" s="11">
        <v>56.920725440519767</v>
      </c>
    </row>
    <row r="816" spans="4:5">
      <c r="D816" s="11">
        <v>814</v>
      </c>
      <c r="E816" s="11">
        <v>58.783810359639965</v>
      </c>
    </row>
    <row r="817" spans="4:5">
      <c r="D817" s="11">
        <v>815</v>
      </c>
      <c r="E817" s="11">
        <v>42.796207901579457</v>
      </c>
    </row>
    <row r="818" spans="4:5">
      <c r="D818" s="11">
        <v>816</v>
      </c>
      <c r="E818" s="11">
        <v>44.411063470385805</v>
      </c>
    </row>
    <row r="819" spans="4:5">
      <c r="D819" s="11">
        <v>817</v>
      </c>
      <c r="E819" s="11">
        <v>46.175664436132841</v>
      </c>
    </row>
    <row r="820" spans="4:5">
      <c r="D820" s="11">
        <v>818</v>
      </c>
      <c r="E820" s="11">
        <v>41.152066222122123</v>
      </c>
    </row>
    <row r="821" spans="4:5">
      <c r="D821" s="11">
        <v>819</v>
      </c>
      <c r="E821" s="11">
        <v>54.868209063292063</v>
      </c>
    </row>
    <row r="822" spans="4:5">
      <c r="D822" s="11">
        <v>820</v>
      </c>
      <c r="E822" s="11">
        <v>36.465092124704412</v>
      </c>
    </row>
    <row r="823" spans="4:5">
      <c r="D823" s="11">
        <v>821</v>
      </c>
      <c r="E823" s="11">
        <v>56.24171018301346</v>
      </c>
    </row>
    <row r="824" spans="4:5">
      <c r="D824" s="11">
        <v>822</v>
      </c>
      <c r="E824" s="11">
        <v>43.675138069109451</v>
      </c>
    </row>
    <row r="825" spans="4:5">
      <c r="D825" s="11">
        <v>823</v>
      </c>
      <c r="E825" s="11">
        <v>47.432332390058086</v>
      </c>
    </row>
    <row r="826" spans="4:5">
      <c r="D826" s="11">
        <v>824</v>
      </c>
      <c r="E826" s="11">
        <v>38.422884967397472</v>
      </c>
    </row>
    <row r="827" spans="4:5">
      <c r="D827" s="11">
        <v>825</v>
      </c>
      <c r="E827" s="11">
        <v>43.342266687854455</v>
      </c>
    </row>
    <row r="828" spans="4:5">
      <c r="D828" s="11">
        <v>826</v>
      </c>
      <c r="E828" s="11">
        <v>37.443524220512067</v>
      </c>
    </row>
    <row r="829" spans="4:5">
      <c r="D829" s="11">
        <v>827</v>
      </c>
      <c r="E829" s="11">
        <v>48.259001239828152</v>
      </c>
    </row>
    <row r="830" spans="4:5">
      <c r="D830" s="11">
        <v>828</v>
      </c>
      <c r="E830" s="11">
        <v>60.429237661484336</v>
      </c>
    </row>
    <row r="831" spans="4:5">
      <c r="D831" s="11">
        <v>829</v>
      </c>
      <c r="E831" s="11">
        <v>33.779267794947891</v>
      </c>
    </row>
    <row r="832" spans="4:5">
      <c r="D832" s="11">
        <v>830</v>
      </c>
      <c r="E832" s="11">
        <v>37.767549352004806</v>
      </c>
    </row>
    <row r="833" spans="4:5">
      <c r="D833" s="11">
        <v>831</v>
      </c>
      <c r="E833" s="11">
        <v>47.542317881657624</v>
      </c>
    </row>
    <row r="834" spans="4:5">
      <c r="D834" s="11">
        <v>832</v>
      </c>
      <c r="E834" s="11">
        <v>54.3209041213766</v>
      </c>
    </row>
    <row r="835" spans="4:5">
      <c r="D835" s="11">
        <v>833</v>
      </c>
      <c r="E835" s="11">
        <v>43.140225553618343</v>
      </c>
    </row>
    <row r="836" spans="4:5">
      <c r="D836" s="11">
        <v>834</v>
      </c>
      <c r="E836" s="11">
        <v>51.750492329620634</v>
      </c>
    </row>
    <row r="837" spans="4:5">
      <c r="D837" s="11">
        <v>835</v>
      </c>
      <c r="E837" s="11">
        <v>55.276690038770248</v>
      </c>
    </row>
    <row r="838" spans="4:5">
      <c r="D838" s="11">
        <v>836</v>
      </c>
      <c r="E838" s="11">
        <v>34.234439360529343</v>
      </c>
    </row>
    <row r="839" spans="4:5">
      <c r="D839" s="11">
        <v>837</v>
      </c>
      <c r="E839" s="11">
        <v>50.105222321699046</v>
      </c>
    </row>
    <row r="840" spans="4:5">
      <c r="D840" s="11">
        <v>838</v>
      </c>
      <c r="E840" s="11">
        <v>41.641864790474081</v>
      </c>
    </row>
    <row r="841" spans="4:5">
      <c r="D841" s="11">
        <v>839</v>
      </c>
      <c r="E841" s="11">
        <v>32.476837295255976</v>
      </c>
    </row>
    <row r="842" spans="4:5">
      <c r="D842" s="11">
        <v>840</v>
      </c>
      <c r="E842" s="11">
        <v>50.841299222339451</v>
      </c>
    </row>
    <row r="843" spans="4:5">
      <c r="D843" s="11">
        <v>841</v>
      </c>
      <c r="E843" s="11">
        <v>42.992864973868507</v>
      </c>
    </row>
    <row r="844" spans="4:5">
      <c r="D844" s="11">
        <v>842</v>
      </c>
      <c r="E844" s="11">
        <v>44.948154114354153</v>
      </c>
    </row>
    <row r="845" spans="4:5">
      <c r="D845" s="11">
        <v>843</v>
      </c>
      <c r="E845" s="11">
        <v>28.384435736507605</v>
      </c>
    </row>
    <row r="846" spans="4:5">
      <c r="D846" s="11">
        <v>844</v>
      </c>
      <c r="E846" s="11">
        <v>42.084894189384499</v>
      </c>
    </row>
    <row r="847" spans="4:5">
      <c r="D847" s="11">
        <v>845</v>
      </c>
      <c r="E847" s="11">
        <v>41.409281413268076</v>
      </c>
    </row>
    <row r="848" spans="4:5">
      <c r="D848" s="11">
        <v>846</v>
      </c>
      <c r="E848" s="11">
        <v>42.776159954745808</v>
      </c>
    </row>
    <row r="849" spans="4:5">
      <c r="D849" s="11">
        <v>847</v>
      </c>
      <c r="E849" s="11">
        <v>47.141065032071694</v>
      </c>
    </row>
    <row r="850" spans="4:5">
      <c r="D850" s="11">
        <v>848</v>
      </c>
      <c r="E850" s="11">
        <v>55.797628405048634</v>
      </c>
    </row>
    <row r="851" spans="4:5">
      <c r="D851" s="11">
        <v>849</v>
      </c>
      <c r="E851" s="11">
        <v>49.175851863121721</v>
      </c>
    </row>
    <row r="852" spans="4:5">
      <c r="D852" s="11">
        <v>850</v>
      </c>
      <c r="E852" s="11">
        <v>57.957910808290237</v>
      </c>
    </row>
    <row r="853" spans="4:5">
      <c r="D853" s="11">
        <v>851</v>
      </c>
      <c r="E853" s="11">
        <v>47.64700901323765</v>
      </c>
    </row>
    <row r="854" spans="4:5">
      <c r="D854" s="11">
        <v>852</v>
      </c>
      <c r="E854" s="11">
        <v>56.759073559584571</v>
      </c>
    </row>
    <row r="855" spans="4:5">
      <c r="D855" s="11">
        <v>853</v>
      </c>
      <c r="E855" s="11">
        <v>39.077286612530173</v>
      </c>
    </row>
    <row r="856" spans="4:5">
      <c r="D856" s="11">
        <v>854</v>
      </c>
      <c r="E856" s="11">
        <v>49.524563067537734</v>
      </c>
    </row>
    <row r="857" spans="4:5">
      <c r="D857" s="11">
        <v>855</v>
      </c>
      <c r="E857" s="11">
        <v>49.799117230124068</v>
      </c>
    </row>
    <row r="858" spans="4:5">
      <c r="D858" s="11">
        <v>856</v>
      </c>
      <c r="E858" s="11">
        <v>42.891805438807516</v>
      </c>
    </row>
    <row r="859" spans="4:5">
      <c r="D859" s="11">
        <v>857</v>
      </c>
      <c r="E859" s="11">
        <v>43.560781806626899</v>
      </c>
    </row>
    <row r="860" spans="4:5">
      <c r="D860" s="11">
        <v>858</v>
      </c>
      <c r="E860" s="11">
        <v>56.946478055580386</v>
      </c>
    </row>
    <row r="861" spans="4:5">
      <c r="D861" s="11">
        <v>859</v>
      </c>
      <c r="E861" s="11">
        <v>37.928246264864867</v>
      </c>
    </row>
    <row r="862" spans="4:5">
      <c r="D862" s="11">
        <v>860</v>
      </c>
      <c r="E862" s="11">
        <v>41.642477141255746</v>
      </c>
    </row>
    <row r="863" spans="4:5">
      <c r="D863" s="11">
        <v>861</v>
      </c>
      <c r="E863" s="11">
        <v>31.305810907751255</v>
      </c>
    </row>
    <row r="864" spans="4:5">
      <c r="D864" s="11">
        <v>862</v>
      </c>
      <c r="E864" s="11">
        <v>39.867149663167062</v>
      </c>
    </row>
    <row r="865" spans="4:5">
      <c r="D865" s="11">
        <v>863</v>
      </c>
      <c r="E865" s="11">
        <v>41.499498080709252</v>
      </c>
    </row>
    <row r="866" spans="4:5">
      <c r="D866" s="11">
        <v>864</v>
      </c>
      <c r="E866" s="11">
        <v>27.888618618210465</v>
      </c>
    </row>
    <row r="867" spans="4:5">
      <c r="D867" s="11">
        <v>865</v>
      </c>
      <c r="E867" s="11">
        <v>33.312794683443727</v>
      </c>
    </row>
    <row r="868" spans="4:5">
      <c r="D868" s="11">
        <v>866</v>
      </c>
      <c r="E868" s="11">
        <v>35.9594181567291</v>
      </c>
    </row>
    <row r="869" spans="4:5">
      <c r="D869" s="11">
        <v>867</v>
      </c>
      <c r="E869" s="11">
        <v>37.806656867992402</v>
      </c>
    </row>
    <row r="870" spans="4:5">
      <c r="D870" s="11">
        <v>868</v>
      </c>
      <c r="E870" s="11">
        <v>37.770282134194481</v>
      </c>
    </row>
    <row r="871" spans="4:5">
      <c r="D871" s="11">
        <v>869</v>
      </c>
      <c r="E871" s="11">
        <v>42.871581662246491</v>
      </c>
    </row>
    <row r="872" spans="4:5">
      <c r="D872" s="11">
        <v>870</v>
      </c>
      <c r="E872" s="11">
        <v>33.000015390435173</v>
      </c>
    </row>
    <row r="873" spans="4:5">
      <c r="D873" s="11">
        <v>871</v>
      </c>
      <c r="E873" s="11">
        <v>37.808618736671697</v>
      </c>
    </row>
    <row r="874" spans="4:5">
      <c r="D874" s="11">
        <v>872</v>
      </c>
      <c r="E874" s="11">
        <v>38.247267249622553</v>
      </c>
    </row>
    <row r="875" spans="4:5">
      <c r="D875" s="11">
        <v>873</v>
      </c>
      <c r="E875" s="11">
        <v>30.473137723603109</v>
      </c>
    </row>
    <row r="876" spans="4:5">
      <c r="D876" s="11">
        <v>874</v>
      </c>
      <c r="E876" s="11">
        <v>36.252828813680445</v>
      </c>
    </row>
    <row r="877" spans="4:5">
      <c r="D877" s="11">
        <v>875</v>
      </c>
      <c r="E877" s="11">
        <v>45.106397909841775</v>
      </c>
    </row>
    <row r="878" spans="4:5">
      <c r="D878" s="11">
        <v>876</v>
      </c>
      <c r="E878" s="11">
        <v>39.184522145453599</v>
      </c>
    </row>
    <row r="879" spans="4:5">
      <c r="D879" s="11">
        <v>877</v>
      </c>
      <c r="E879" s="11">
        <v>41.443713644305774</v>
      </c>
    </row>
    <row r="880" spans="4:5">
      <c r="D880" s="11">
        <v>878</v>
      </c>
      <c r="E880" s="11">
        <v>34.304980512652939</v>
      </c>
    </row>
    <row r="881" spans="4:5">
      <c r="D881" s="11">
        <v>879</v>
      </c>
      <c r="E881" s="11">
        <v>37.128694702599944</v>
      </c>
    </row>
    <row r="882" spans="4:5">
      <c r="D882" s="11">
        <v>880</v>
      </c>
      <c r="E882" s="11">
        <v>34.011108543330444</v>
      </c>
    </row>
    <row r="883" spans="4:5">
      <c r="D883" s="11">
        <v>881</v>
      </c>
      <c r="E883" s="11">
        <v>42.215907286187026</v>
      </c>
    </row>
    <row r="884" spans="4:5">
      <c r="D884" s="11">
        <v>882</v>
      </c>
      <c r="E884" s="11">
        <v>49.88126986478165</v>
      </c>
    </row>
    <row r="885" spans="4:5">
      <c r="D885" s="11">
        <v>883</v>
      </c>
      <c r="E885" s="11">
        <v>33.113023114395219</v>
      </c>
    </row>
    <row r="886" spans="4:5">
      <c r="D886" s="11">
        <v>884</v>
      </c>
      <c r="E886" s="11">
        <v>63.839381264021505</v>
      </c>
    </row>
    <row r="887" spans="4:5">
      <c r="D887" s="11">
        <v>885</v>
      </c>
      <c r="E887" s="11">
        <v>43.62458704767883</v>
      </c>
    </row>
    <row r="888" spans="4:5">
      <c r="D888" s="11">
        <v>886</v>
      </c>
      <c r="E888" s="11">
        <v>48.215379859209413</v>
      </c>
    </row>
    <row r="889" spans="4:5">
      <c r="D889" s="11">
        <v>887</v>
      </c>
      <c r="E889" s="11">
        <v>31.97925265919551</v>
      </c>
    </row>
    <row r="890" spans="4:5">
      <c r="D890" s="11">
        <v>888</v>
      </c>
      <c r="E890" s="11">
        <v>44.890598919647879</v>
      </c>
    </row>
    <row r="891" spans="4:5">
      <c r="D891" s="11">
        <v>889</v>
      </c>
      <c r="E891" s="11">
        <v>55.87337964730645</v>
      </c>
    </row>
    <row r="892" spans="4:5">
      <c r="D892" s="11">
        <v>890</v>
      </c>
      <c r="E892" s="11">
        <v>37.675904637448177</v>
      </c>
    </row>
    <row r="893" spans="4:5">
      <c r="D893" s="11">
        <v>891</v>
      </c>
      <c r="E893" s="11">
        <v>47.562371390800379</v>
      </c>
    </row>
    <row r="894" spans="4:5">
      <c r="D894" s="11">
        <v>892</v>
      </c>
      <c r="E894" s="11">
        <v>55.643812121719577</v>
      </c>
    </row>
    <row r="895" spans="4:5">
      <c r="D895" s="11">
        <v>893</v>
      </c>
      <c r="E895" s="11">
        <v>60.19474187766459</v>
      </c>
    </row>
    <row r="896" spans="4:5">
      <c r="D896" s="11">
        <v>894</v>
      </c>
      <c r="E896" s="11">
        <v>43.01647589774916</v>
      </c>
    </row>
    <row r="897" spans="4:5">
      <c r="D897" s="11">
        <v>895</v>
      </c>
      <c r="E897" s="11">
        <v>32.605202551361685</v>
      </c>
    </row>
    <row r="898" spans="4:5">
      <c r="D898" s="11">
        <v>896</v>
      </c>
      <c r="E898" s="11">
        <v>34.050417159308154</v>
      </c>
    </row>
    <row r="899" spans="4:5">
      <c r="D899" s="11">
        <v>897</v>
      </c>
      <c r="E899" s="11">
        <v>58.766051712242572</v>
      </c>
    </row>
    <row r="900" spans="4:5">
      <c r="D900" s="11">
        <v>898</v>
      </c>
      <c r="E900" s="11">
        <v>42.629255390071087</v>
      </c>
    </row>
    <row r="901" spans="4:5">
      <c r="D901" s="11">
        <v>899</v>
      </c>
      <c r="E901" s="11">
        <v>65.08106627536624</v>
      </c>
    </row>
    <row r="902" spans="4:5">
      <c r="D902" s="11">
        <v>900</v>
      </c>
      <c r="E902" s="11">
        <v>43.428608786847334</v>
      </c>
    </row>
    <row r="903" spans="4:5">
      <c r="D903" s="11">
        <v>901</v>
      </c>
      <c r="E903" s="11">
        <v>50.174982846425593</v>
      </c>
    </row>
    <row r="904" spans="4:5">
      <c r="D904" s="11">
        <v>902</v>
      </c>
      <c r="E904" s="11">
        <v>44.22251003457486</v>
      </c>
    </row>
    <row r="905" spans="4:5">
      <c r="D905" s="11">
        <v>903</v>
      </c>
      <c r="E905" s="11">
        <v>59.123170091798144</v>
      </c>
    </row>
    <row r="906" spans="4:5">
      <c r="D906" s="11">
        <v>904</v>
      </c>
      <c r="E906" s="11">
        <v>45.426225679711116</v>
      </c>
    </row>
    <row r="907" spans="4:5">
      <c r="D907" s="11">
        <v>905</v>
      </c>
      <c r="E907" s="11">
        <v>33.829541062353712</v>
      </c>
    </row>
    <row r="908" spans="4:5">
      <c r="D908" s="11">
        <v>906</v>
      </c>
      <c r="E908" s="11">
        <v>35.133010767542494</v>
      </c>
    </row>
    <row r="909" spans="4:5">
      <c r="D909" s="11">
        <v>907</v>
      </c>
      <c r="E909" s="11">
        <v>39.86920662757624</v>
      </c>
    </row>
    <row r="910" spans="4:5">
      <c r="D910" s="11">
        <v>908</v>
      </c>
      <c r="E910" s="11">
        <v>36.177421033282961</v>
      </c>
    </row>
    <row r="911" spans="4:5">
      <c r="D911" s="11">
        <v>909</v>
      </c>
      <c r="E911" s="11">
        <v>31.731698242751829</v>
      </c>
    </row>
    <row r="912" spans="4:5">
      <c r="D912" s="11">
        <v>910</v>
      </c>
      <c r="E912" s="11">
        <v>48.80298661437191</v>
      </c>
    </row>
    <row r="913" spans="4:5">
      <c r="D913" s="11">
        <v>911</v>
      </c>
      <c r="E913" s="11">
        <v>61.809374619002718</v>
      </c>
    </row>
    <row r="914" spans="4:5">
      <c r="D914" s="11">
        <v>912</v>
      </c>
      <c r="E914" s="11">
        <v>43.438889330070047</v>
      </c>
    </row>
    <row r="915" spans="4:5">
      <c r="D915" s="11">
        <v>913</v>
      </c>
      <c r="E915" s="11">
        <v>49.742703032376433</v>
      </c>
    </row>
    <row r="916" spans="4:5">
      <c r="D916" s="11">
        <v>914</v>
      </c>
      <c r="E916" s="11">
        <v>46.185195239841768</v>
      </c>
    </row>
    <row r="917" spans="4:5">
      <c r="D917" s="11">
        <v>915</v>
      </c>
      <c r="E917" s="11">
        <v>35.950956984298465</v>
      </c>
    </row>
    <row r="918" spans="4:5">
      <c r="D918" s="11">
        <v>916</v>
      </c>
      <c r="E918" s="11">
        <v>66.233799766388302</v>
      </c>
    </row>
    <row r="919" spans="4:5">
      <c r="D919" s="11">
        <v>917</v>
      </c>
      <c r="E919" s="11">
        <v>32.160229009692721</v>
      </c>
    </row>
    <row r="920" spans="4:5">
      <c r="D920" s="11">
        <v>918</v>
      </c>
      <c r="E920" s="11">
        <v>40.089787465411554</v>
      </c>
    </row>
    <row r="921" spans="4:5">
      <c r="D921" s="11">
        <v>919</v>
      </c>
      <c r="E921" s="11">
        <v>54.345229736423342</v>
      </c>
    </row>
    <row r="922" spans="4:5">
      <c r="D922" s="11">
        <v>920</v>
      </c>
      <c r="E922" s="11">
        <v>50.81971716899136</v>
      </c>
    </row>
    <row r="923" spans="4:5">
      <c r="D923" s="11">
        <v>921</v>
      </c>
      <c r="E923" s="11">
        <v>38.147495280150963</v>
      </c>
    </row>
    <row r="924" spans="4:5">
      <c r="D924" s="11">
        <v>922</v>
      </c>
      <c r="E924" s="11">
        <v>44.778737130145757</v>
      </c>
    </row>
    <row r="925" spans="4:5">
      <c r="D925" s="11">
        <v>923</v>
      </c>
      <c r="E925" s="11">
        <v>34.525811272962706</v>
      </c>
    </row>
    <row r="926" spans="4:5">
      <c r="D926" s="11">
        <v>924</v>
      </c>
      <c r="E926" s="11">
        <v>59.995188863183188</v>
      </c>
    </row>
    <row r="927" spans="4:5">
      <c r="D927" s="11">
        <v>925</v>
      </c>
      <c r="E927" s="11">
        <v>48.051936374541761</v>
      </c>
    </row>
    <row r="928" spans="4:5">
      <c r="D928" s="11">
        <v>926</v>
      </c>
      <c r="E928" s="11">
        <v>31.888246691827959</v>
      </c>
    </row>
    <row r="929" spans="4:5">
      <c r="D929" s="11">
        <v>927</v>
      </c>
      <c r="E929" s="11">
        <v>28.951481858582991</v>
      </c>
    </row>
    <row r="930" spans="4:5">
      <c r="D930" s="11">
        <v>928</v>
      </c>
      <c r="E930" s="11">
        <v>34.55787241720553</v>
      </c>
    </row>
    <row r="931" spans="4:5">
      <c r="D931" s="11">
        <v>929</v>
      </c>
      <c r="E931" s="11">
        <v>43.484646097929875</v>
      </c>
    </row>
    <row r="932" spans="4:5">
      <c r="D932" s="11">
        <v>930</v>
      </c>
      <c r="E932" s="11">
        <v>55.56144057683823</v>
      </c>
    </row>
    <row r="933" spans="4:5">
      <c r="D933" s="11">
        <v>931</v>
      </c>
      <c r="E933" s="11">
        <v>49.975905144262462</v>
      </c>
    </row>
    <row r="934" spans="4:5">
      <c r="D934" s="11">
        <v>932</v>
      </c>
      <c r="E934" s="11">
        <v>34.602597997293394</v>
      </c>
    </row>
    <row r="935" spans="4:5">
      <c r="D935" s="11">
        <v>933</v>
      </c>
      <c r="E935" s="11">
        <v>59.262560343814592</v>
      </c>
    </row>
    <row r="936" spans="4:5">
      <c r="D936" s="11">
        <v>934</v>
      </c>
      <c r="E936" s="11">
        <v>38.837155004570796</v>
      </c>
    </row>
    <row r="937" spans="4:5">
      <c r="D937" s="11">
        <v>935</v>
      </c>
      <c r="E937" s="11">
        <v>43.810258120515627</v>
      </c>
    </row>
    <row r="938" spans="4:5">
      <c r="D938" s="11">
        <v>936</v>
      </c>
      <c r="E938" s="11">
        <v>45.576846204645364</v>
      </c>
    </row>
    <row r="939" spans="4:5">
      <c r="D939" s="11">
        <v>937</v>
      </c>
      <c r="E939" s="11">
        <v>44.320873421640812</v>
      </c>
    </row>
    <row r="940" spans="4:5">
      <c r="D940" s="11">
        <v>938</v>
      </c>
      <c r="E940" s="11">
        <v>53.599824740336487</v>
      </c>
    </row>
    <row r="941" spans="4:5">
      <c r="D941" s="11">
        <v>939</v>
      </c>
      <c r="E941" s="11">
        <v>42.183308345711559</v>
      </c>
    </row>
    <row r="942" spans="4:5">
      <c r="D942" s="11">
        <v>940</v>
      </c>
      <c r="E942" s="11">
        <v>31.60521712412589</v>
      </c>
    </row>
    <row r="943" spans="4:5">
      <c r="D943" s="11">
        <v>941</v>
      </c>
      <c r="E943" s="11">
        <v>32.908565651553758</v>
      </c>
    </row>
    <row r="944" spans="4:5">
      <c r="D944" s="11">
        <v>942</v>
      </c>
      <c r="E944" s="11">
        <v>54.928682202131576</v>
      </c>
    </row>
    <row r="945" spans="4:5">
      <c r="D945" s="11">
        <v>943</v>
      </c>
      <c r="E945" s="11">
        <v>42.756525669522048</v>
      </c>
    </row>
    <row r="946" spans="4:5">
      <c r="D946" s="11">
        <v>944</v>
      </c>
      <c r="E946" s="11">
        <v>65.324306633208536</v>
      </c>
    </row>
    <row r="947" spans="4:5">
      <c r="D947" s="11">
        <v>945</v>
      </c>
      <c r="E947" s="11">
        <v>38.260945923738419</v>
      </c>
    </row>
    <row r="948" spans="4:5">
      <c r="D948" s="11">
        <v>946</v>
      </c>
      <c r="E948" s="11">
        <v>59.539493602058094</v>
      </c>
    </row>
    <row r="949" spans="4:5">
      <c r="D949" s="11">
        <v>947</v>
      </c>
      <c r="E949" s="11">
        <v>52.532379530061618</v>
      </c>
    </row>
    <row r="950" spans="4:5">
      <c r="D950" s="11">
        <v>948</v>
      </c>
      <c r="E950" s="11">
        <v>46.158508674694538</v>
      </c>
    </row>
    <row r="951" spans="4:5">
      <c r="D951" s="11">
        <v>949</v>
      </c>
      <c r="E951" s="11">
        <v>27.186804241967643</v>
      </c>
    </row>
    <row r="952" spans="4:5">
      <c r="D952" s="11">
        <v>950</v>
      </c>
      <c r="E952" s="11">
        <v>43.620011993249115</v>
      </c>
    </row>
    <row r="953" spans="4:5">
      <c r="D953" s="11">
        <v>951</v>
      </c>
      <c r="E953" s="11">
        <v>51.363776744725598</v>
      </c>
    </row>
    <row r="954" spans="4:5">
      <c r="D954" s="11">
        <v>952</v>
      </c>
      <c r="E954" s="11">
        <v>37.130380319829342</v>
      </c>
    </row>
    <row r="955" spans="4:5">
      <c r="D955" s="11">
        <v>953</v>
      </c>
      <c r="E955" s="11">
        <v>42.422301413252583</v>
      </c>
    </row>
    <row r="956" spans="4:5">
      <c r="D956" s="11">
        <v>954</v>
      </c>
      <c r="E956" s="11">
        <v>45.26652407426451</v>
      </c>
    </row>
    <row r="957" spans="4:5">
      <c r="D957" s="11">
        <v>955</v>
      </c>
      <c r="E957" s="11">
        <v>47.573775288755748</v>
      </c>
    </row>
    <row r="958" spans="4:5">
      <c r="D958" s="11">
        <v>956</v>
      </c>
      <c r="E958" s="11">
        <v>44.302414771676112</v>
      </c>
    </row>
    <row r="959" spans="4:5">
      <c r="D959" s="11">
        <v>957</v>
      </c>
      <c r="E959" s="11">
        <v>43.766059648813858</v>
      </c>
    </row>
    <row r="960" spans="4:5">
      <c r="D960" s="11">
        <v>958</v>
      </c>
      <c r="E960" s="11">
        <v>38.585964090388586</v>
      </c>
    </row>
    <row r="961" spans="4:5">
      <c r="D961" s="11">
        <v>959</v>
      </c>
      <c r="E961" s="11">
        <v>29.071922666393156</v>
      </c>
    </row>
    <row r="962" spans="4:5">
      <c r="D962" s="11">
        <v>960</v>
      </c>
      <c r="E962" s="11">
        <v>66.329668474919373</v>
      </c>
    </row>
    <row r="963" spans="4:5">
      <c r="D963" s="11">
        <v>961</v>
      </c>
      <c r="E963" s="11">
        <v>42.449285279935218</v>
      </c>
    </row>
    <row r="964" spans="4:5">
      <c r="D964" s="11">
        <v>962</v>
      </c>
      <c r="E964" s="11">
        <v>34.813218926512015</v>
      </c>
    </row>
    <row r="965" spans="4:5">
      <c r="D965" s="11">
        <v>963</v>
      </c>
      <c r="E965" s="11">
        <v>41.369775844273036</v>
      </c>
    </row>
    <row r="966" spans="4:5">
      <c r="D966" s="11">
        <v>964</v>
      </c>
      <c r="E966" s="11">
        <v>46.427198286760934</v>
      </c>
    </row>
    <row r="967" spans="4:5">
      <c r="D967" s="11">
        <v>965</v>
      </c>
      <c r="E967" s="11">
        <v>31.590430708932775</v>
      </c>
    </row>
    <row r="968" spans="4:5">
      <c r="D968" s="11">
        <v>966</v>
      </c>
      <c r="E968" s="11">
        <v>43.861780225812346</v>
      </c>
    </row>
    <row r="969" spans="4:5">
      <c r="D969" s="11">
        <v>967</v>
      </c>
      <c r="E969" s="11">
        <v>26.042921711224921</v>
      </c>
    </row>
    <row r="970" spans="4:5">
      <c r="D970" s="11">
        <v>968</v>
      </c>
      <c r="E970" s="11">
        <v>53.531513157503866</v>
      </c>
    </row>
    <row r="971" spans="4:5">
      <c r="D971" s="11">
        <v>969</v>
      </c>
      <c r="E971" s="11">
        <v>48.753703593120477</v>
      </c>
    </row>
    <row r="972" spans="4:5">
      <c r="D972" s="11">
        <v>970</v>
      </c>
      <c r="E972" s="11">
        <v>59.62115400391739</v>
      </c>
    </row>
    <row r="973" spans="4:5">
      <c r="D973" s="11">
        <v>971</v>
      </c>
      <c r="E973" s="11">
        <v>50.299460393410499</v>
      </c>
    </row>
    <row r="974" spans="4:5">
      <c r="D974" s="11">
        <v>972</v>
      </c>
      <c r="E974" s="11">
        <v>41.535084557875379</v>
      </c>
    </row>
    <row r="975" spans="4:5">
      <c r="D975" s="11">
        <v>973</v>
      </c>
      <c r="E975" s="11">
        <v>47.157947308990828</v>
      </c>
    </row>
    <row r="976" spans="4:5">
      <c r="D976" s="11">
        <v>974</v>
      </c>
      <c r="E976" s="11">
        <v>42.896871297121372</v>
      </c>
    </row>
    <row r="977" spans="4:5">
      <c r="D977" s="11">
        <v>975</v>
      </c>
      <c r="E977" s="11">
        <v>39.262354021701348</v>
      </c>
    </row>
    <row r="978" spans="4:5">
      <c r="D978" s="11">
        <v>976</v>
      </c>
      <c r="E978" s="11">
        <v>52.306628682609713</v>
      </c>
    </row>
    <row r="979" spans="4:5">
      <c r="D979" s="11">
        <v>977</v>
      </c>
      <c r="E979" s="11">
        <v>33.762378803399201</v>
      </c>
    </row>
    <row r="980" spans="4:5">
      <c r="D980" s="11">
        <v>978</v>
      </c>
      <c r="E980" s="11">
        <v>37.480340605459581</v>
      </c>
    </row>
    <row r="981" spans="4:5">
      <c r="D981" s="11">
        <v>979</v>
      </c>
      <c r="E981" s="11">
        <v>63.773571865683415</v>
      </c>
    </row>
    <row r="982" spans="4:5">
      <c r="D982" s="11">
        <v>980</v>
      </c>
      <c r="E982" s="11">
        <v>43.607689998955465</v>
      </c>
    </row>
    <row r="983" spans="4:5">
      <c r="D983" s="11">
        <v>981</v>
      </c>
      <c r="E983" s="11">
        <v>32.1015355123251</v>
      </c>
    </row>
    <row r="984" spans="4:5">
      <c r="D984" s="11">
        <v>982</v>
      </c>
      <c r="E984" s="11">
        <v>49.512944760094307</v>
      </c>
    </row>
    <row r="985" spans="4:5">
      <c r="D985" s="11">
        <v>983</v>
      </c>
      <c r="E985" s="11">
        <v>47.050658675206137</v>
      </c>
    </row>
    <row r="986" spans="4:5">
      <c r="D986" s="11">
        <v>984</v>
      </c>
      <c r="E986" s="11">
        <v>46.877771820869889</v>
      </c>
    </row>
    <row r="987" spans="4:5">
      <c r="D987" s="11">
        <v>985</v>
      </c>
      <c r="E987" s="11">
        <v>41.27995976253581</v>
      </c>
    </row>
    <row r="988" spans="4:5">
      <c r="D988" s="11">
        <v>986</v>
      </c>
      <c r="E988" s="11">
        <v>47.196673420820105</v>
      </c>
    </row>
    <row r="989" spans="4:5">
      <c r="D989" s="11">
        <v>987</v>
      </c>
      <c r="E989" s="11">
        <v>49.931941782993142</v>
      </c>
    </row>
    <row r="990" spans="4:5">
      <c r="D990" s="11">
        <v>988</v>
      </c>
      <c r="E990" s="11">
        <v>40.847298994574345</v>
      </c>
    </row>
    <row r="991" spans="4:5">
      <c r="D991" s="11">
        <v>989</v>
      </c>
      <c r="E991" s="11">
        <v>34.897329708543616</v>
      </c>
    </row>
    <row r="992" spans="4:5">
      <c r="D992" s="11">
        <v>990</v>
      </c>
      <c r="E992" s="11">
        <v>40.624340062207274</v>
      </c>
    </row>
    <row r="993" spans="4:5">
      <c r="D993" s="11">
        <v>991</v>
      </c>
      <c r="E993" s="11">
        <v>39.855899194240358</v>
      </c>
    </row>
    <row r="994" spans="4:5">
      <c r="D994" s="11">
        <v>992</v>
      </c>
      <c r="E994" s="11">
        <v>35.769971055874585</v>
      </c>
    </row>
    <row r="995" spans="4:5">
      <c r="D995" s="11">
        <v>993</v>
      </c>
      <c r="E995" s="11">
        <v>59.236332970345416</v>
      </c>
    </row>
    <row r="996" spans="4:5">
      <c r="D996" s="11">
        <v>994</v>
      </c>
      <c r="E996" s="11">
        <v>57.602436592745285</v>
      </c>
    </row>
    <row r="997" spans="4:5">
      <c r="D997" s="11">
        <v>995</v>
      </c>
      <c r="E997" s="11">
        <v>53.137664221729544</v>
      </c>
    </row>
    <row r="998" spans="4:5">
      <c r="D998" s="11">
        <v>996</v>
      </c>
      <c r="E998" s="11">
        <v>34.957643139662807</v>
      </c>
    </row>
    <row r="999" spans="4:5">
      <c r="D999" s="11">
        <v>997</v>
      </c>
      <c r="E999" s="11">
        <v>48.396887442894929</v>
      </c>
    </row>
    <row r="1000" spans="4:5">
      <c r="D1000" s="11">
        <v>998</v>
      </c>
      <c r="E1000" s="11">
        <v>30.302781246838936</v>
      </c>
    </row>
    <row r="1001" spans="4:5">
      <c r="D1001" s="11">
        <v>999</v>
      </c>
      <c r="E1001" s="11">
        <v>44.091084783501621</v>
      </c>
    </row>
    <row r="1002" spans="4:5">
      <c r="D1002" s="11">
        <v>1000</v>
      </c>
      <c r="E1002" s="11">
        <v>41.450983420109907</v>
      </c>
    </row>
    <row r="1003" spans="4:5">
      <c r="D1003" s="11">
        <v>1001</v>
      </c>
      <c r="E1003" s="11">
        <v>45.664695836991058</v>
      </c>
    </row>
    <row r="1004" spans="4:5">
      <c r="D1004" s="11">
        <v>1002</v>
      </c>
      <c r="E1004" s="11">
        <v>49.196909289325788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Master Inputs</vt:lpstr>
      <vt:lpstr>Answer Report 1</vt:lpstr>
      <vt:lpstr>2. Optimization Engine</vt:lpstr>
      <vt:lpstr>3. Risk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K. G. Janahni</cp:lastModifiedBy>
  <dcterms:created xsi:type="dcterms:W3CDTF">2026-09-16T08:22:07Z</dcterms:created>
  <dcterms:modified xsi:type="dcterms:W3CDTF">2026-09-16T13:34:16Z</dcterms:modified>
</cp:coreProperties>
</file>